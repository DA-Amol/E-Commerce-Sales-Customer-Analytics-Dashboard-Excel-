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_BA Projects\Excel\"/>
    </mc:Choice>
  </mc:AlternateContent>
  <xr:revisionPtr revIDLastSave="0" documentId="13_ncr:1_{911EC415-FE05-48A0-9B65-0390D92F262B}" xr6:coauthVersionLast="47" xr6:coauthVersionMax="47" xr10:uidLastSave="{00000000-0000-0000-0000-000000000000}"/>
  <bookViews>
    <workbookView xWindow="-108" yWindow="-108" windowWidth="23256" windowHeight="12576" tabRatio="670" activeTab="1" xr2:uid="{346724B3-1C49-40AE-AA36-C77CF5D6DD09}"/>
  </bookViews>
  <sheets>
    <sheet name="Dashboard" sheetId="3" r:id="rId1"/>
    <sheet name="Questions &amp; KPIs" sheetId="2" r:id="rId2"/>
    <sheet name="Pivots" sheetId="5" r:id="rId3"/>
    <sheet name="Order Mode Analysis" sheetId="6" r:id="rId4"/>
    <sheet name="Order Quantity Analysis" sheetId="7" r:id="rId5"/>
    <sheet name="Popular Products Analysis" sheetId="8" r:id="rId6"/>
    <sheet name="Geographic Distribution" sheetId="10" r:id="rId7"/>
    <sheet name="Delivery Time" sheetId="13" r:id="rId8"/>
    <sheet name="Cx Satisfaction" sheetId="14" r:id="rId9"/>
    <sheet name="Data" sheetId="1" r:id="rId10"/>
  </sheets>
  <definedNames>
    <definedName name="_xlchart.v5.0" hidden="1">'Geographic Distribution'!$N$3:$O$3</definedName>
    <definedName name="_xlchart.v5.1" hidden="1">'Geographic Distribution'!$N$4:$O$61</definedName>
    <definedName name="_xlchart.v5.2" hidden="1">'Geographic Distribution'!$Q$3</definedName>
    <definedName name="_xlchart.v5.3" hidden="1">'Geographic Distribution'!$Q$4:$Q$61</definedName>
    <definedName name="_xlchart.v5.4" hidden="1">'Geographic Distribution'!$H$3:$I$3</definedName>
    <definedName name="_xlchart.v5.5" hidden="1">'Geographic Distribution'!$H$4:$I$61</definedName>
    <definedName name="_xlchart.v5.6" hidden="1">'Geographic Distribution'!$J$3</definedName>
    <definedName name="_xlchart.v5.7" hidden="1">'Geographic Distribution'!$J$4:$J$61</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 i="6" l="1"/>
  <c r="L9" i="6"/>
  <c r="K9" i="6"/>
  <c r="J9" i="6"/>
  <c r="I9" i="6"/>
  <c r="M8" i="6"/>
  <c r="L8" i="6"/>
  <c r="K8" i="6"/>
  <c r="J8" i="6"/>
  <c r="I8" i="6"/>
  <c r="M7" i="6"/>
  <c r="L7" i="6"/>
  <c r="K7" i="6"/>
  <c r="J7" i="6"/>
  <c r="I7" i="6"/>
  <c r="M6" i="6"/>
  <c r="L6" i="6"/>
  <c r="K6" i="6"/>
  <c r="J6" i="6"/>
  <c r="I6" i="6"/>
  <c r="M5" i="6"/>
  <c r="L5" i="6"/>
  <c r="K5" i="6"/>
  <c r="J5" i="6"/>
  <c r="I5" i="6"/>
  <c r="M4" i="6"/>
  <c r="L4" i="6"/>
  <c r="K4" i="6"/>
  <c r="J4" i="6"/>
  <c r="L4" i="5"/>
  <c r="K4" i="5"/>
  <c r="J4" i="5"/>
  <c r="I4" i="5"/>
  <c r="H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c r="O1501" i="1" a="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a="1"/>
  <c r="O1365" i="1" s="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c r="O795" i="1" a="1"/>
  <c r="N795" i="1"/>
  <c r="M795" i="1"/>
  <c r="O794" i="1"/>
  <c r="O794" i="1" a="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c r="O668" i="1" a="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c r="O515" i="1" a="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c r="O497" i="1" a="1"/>
  <c r="N497" i="1"/>
  <c r="M497" i="1"/>
  <c r="O496" i="1"/>
  <c r="O496" i="1" a="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c r="O386" i="1" a="1"/>
  <c r="N386" i="1"/>
  <c r="M386" i="1"/>
  <c r="O385" i="1"/>
  <c r="O385" i="1" a="1"/>
  <c r="N385" i="1"/>
  <c r="M385" i="1"/>
  <c r="O384" i="1"/>
  <c r="O384" i="1" a="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a="1"/>
  <c r="O260" i="1" s="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<sst xmlns="http://schemas.openxmlformats.org/spreadsheetml/2006/main" count="14903" uniqueCount="2572">
  <si>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</si>
  <si>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</si>
  <si>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</si>
  <si>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</si>
  <si>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</si>
  <si>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</si>
  <si>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</si>
  <si>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</si>
  <si>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</si>
  <si>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</si>
  <si>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</si>
  <si>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</si>
  <si>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</si>
  <si>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</si>
  <si>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</si>
  <si>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</si>
  <si>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</si>
  <si>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</si>
  <si>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</si>
  <si>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</si>
  <si>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</si>
  <si>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</si>
  <si>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</si>
  <si>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</si>
  <si>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</si>
  <si>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</si>
  <si>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</si>
  <si>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</si>
  <si>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</si>
  <si>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</si>
  <si>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</si>
  <si>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</si>
  <si>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</si>
  <si>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</si>
  <si>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</si>
  <si>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</si>
  <si>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</si>
  <si>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</si>
  <si>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</si>
  <si>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</si>
  <si>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</si>
  <si>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</si>
  <si>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</si>
  <si>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</si>
  <si>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</si>
  <si>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</si>
  <si>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</si>
  <si>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</si>
  <si>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</si>
  <si>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</si>
  <si>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</si>
  <si>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</si>
  <si>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</si>
  <si>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</si>
  <si>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</si>
  <si>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</si>
  <si>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</si>
  <si>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</si>
  <si>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</si>
  <si>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</si>
  <si>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</si>
  <si>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</si>
  <si>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</si>
  <si>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</si>
  <si>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</si>
  <si>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</si>
  <si>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</si>
  <si>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</si>
  <si>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</si>
  <si>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</si>
  <si>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</si>
  <si>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</si>
  <si>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</si>
  <si>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</si>
  <si>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</si>
  <si>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</si>
  <si>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</si>
  <si>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</si>
  <si>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</si>
  <si>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</si>
  <si>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</si>
  <si>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</si>
  <si>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</si>
  <si>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</si>
  <si>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</si>
  <si>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</si>
  <si>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</si>
  <si>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</si>
  <si>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</si>
  <si>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</si>
  <si>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</si>
  <si>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</si>
  <si>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</si>
  <si>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</si>
  <si>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</si>
  <si>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</si>
  <si>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</si>
  <si>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</si>
  <si>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</si>
  <si>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</si>
  <si>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</si>
  <si>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</si>
  <si>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</si>
  <si>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</si>
  <si>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</si>
  <si>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</si>
  <si>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</si>
  <si>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</si>
  <si>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</si>
  <si>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</si>
  <si>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</si>
  <si>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</si>
  <si>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</si>
  <si>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</si>
  <si>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</si>
  <si>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</si>
  <si>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</si>
  <si>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</si>
  <si>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</si>
  <si>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</si>
  <si>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</si>
  <si>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</si>
  <si>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</si>
  <si>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</si>
  <si>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</si>
  <si>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</si>
  <si>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</si>
  <si>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</si>
  <si>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</si>
  <si>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</si>
  <si>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</si>
  <si>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</si>
  <si>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</si>
  <si>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</si>
  <si>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</si>
  <si>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</si>
  <si>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</si>
  <si>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</si>
  <si>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</si>
  <si>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</si>
  <si>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</si>
  <si>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</si>
  <si>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</si>
  <si>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</si>
  <si>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</si>
  <si>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</si>
  <si>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</si>
  <si>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</si>
  <si>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</si>
  <si>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</si>
  <si>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</si>
  <si>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</si>
  <si>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</si>
  <si>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</si>
  <si>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</si>
  <si>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</si>
  <si>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</si>
  <si>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</si>
  <si>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</si>
  <si>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</si>
  <si>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</si>
  <si>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</si>
  <si>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</si>
  <si>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</si>
  <si>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</si>
  <si>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</si>
  <si>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</si>
  <si>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</si>
  <si>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</si>
  <si>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</si>
  <si>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</si>
  <si>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</si>
  <si>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</si>
  <si>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</si>
  <si>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</si>
  <si>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</si>
  <si>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</si>
  <si>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</si>
  <si>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</si>
  <si>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</si>
  <si>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</si>
  <si>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</si>
  <si>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</si>
  <si>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</si>
  <si>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</si>
  <si>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</si>
  <si>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</si>
  <si>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</si>
  <si>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</si>
  <si>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</si>
  <si>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</si>
  <si>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</si>
  <si>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</si>
  <si>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</si>
  <si>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</si>
  <si>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</si>
  <si>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</si>
  <si>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</si>
  <si>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</si>
  <si>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</si>
  <si>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</si>
  <si>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</si>
  <si>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</si>
  <si>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</si>
  <si>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</si>
  <si>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</si>
  <si>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</si>
  <si>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</si>
  <si>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</si>
  <si>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</si>
  <si>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</si>
  <si>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</si>
  <si>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</si>
  <si>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</si>
  <si>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</si>
  <si>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</si>
  <si>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</si>
  <si>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</si>
  <si>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</si>
  <si>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</si>
  <si>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</si>
  <si>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</si>
  <si>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</si>
  <si>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</si>
  <si>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</si>
  <si>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</si>
  <si>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</si>
  <si>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</si>
  <si>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</si>
  <si>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</si>
  <si>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</si>
  <si>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</si>
  <si>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</si>
  <si>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</si>
  <si>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</si>
  <si>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</si>
  <si>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</si>
  <si>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</si>
  <si>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</si>
  <si>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</si>
  <si>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</si>
  <si>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</si>
  <si>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</si>
  <si>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</si>
  <si>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</si>
  <si>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</si>
  <si>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</si>
  <si>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</si>
  <si>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</si>
  <si>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</si>
  <si>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</si>
  <si>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</si>
  <si>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</si>
  <si>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</si>
  <si>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</si>
  <si>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</si>
  <si>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</si>
  <si>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</si>
  <si>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</si>
  <si>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</si>
  <si>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</si>
  <si>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</si>
  <si>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</si>
  <si>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</si>
  <si>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</si>
  <si>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</si>
  <si>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</si>
  <si>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</si>
  <si>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</si>
  <si>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</si>
  <si>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</si>
  <si>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</si>
  <si>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</si>
  <si>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</si>
  <si>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</si>
  <si>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</si>
  <si>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</si>
  <si>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</si>
  <si>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</si>
  <si>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</si>
  <si>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</si>
  <si>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</si>
  <si>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</si>
  <si>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</si>
  <si>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</si>
  <si>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</si>
  <si>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</si>
  <si>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</si>
  <si>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</si>
  <si>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</si>
  <si>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</si>
  <si>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</si>
  <si>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</si>
  <si>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</si>
  <si>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</si>
  <si>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</si>
  <si>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</si>
  <si>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</si>
  <si>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</si>
  <si>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</si>
  <si>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</si>
  <si>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</si>
  <si>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</si>
  <si>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</si>
  <si>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</si>
  <si>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</si>
  <si>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</si>
  <si>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</si>
  <si>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</si>
  <si>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</si>
  <si>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</si>
  <si>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</si>
  <si>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</si>
  <si>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</si>
  <si>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</si>
  <si>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</si>
  <si>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</si>
  <si>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</si>
  <si>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</si>
  <si>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</si>
  <si>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</si>
  <si>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</si>
  <si>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</si>
  <si>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</si>
  <si>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</si>
  <si>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</si>
  <si>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</si>
  <si>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</si>
  <si>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</si>
  <si>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</si>
  <si>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</si>
  <si>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</si>
  <si>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</si>
  <si>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</si>
  <si>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</si>
  <si>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</si>
  <si>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</si>
  <si>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</si>
  <si>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</si>
  <si>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</si>
  <si>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</si>
  <si>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</si>
  <si>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</si>
  <si>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</si>
  <si>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</si>
  <si>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</si>
  <si>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</si>
  <si>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</si>
  <si>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</si>
  <si>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</si>
  <si>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</si>
  <si>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</si>
  <si>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</si>
  <si>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</si>
  <si>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</si>
  <si>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</si>
  <si>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</si>
  <si>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</si>
  <si>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</si>
  <si>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</si>
  <si>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</si>
  <si>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</si>
  <si>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</si>
  <si>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</si>
  <si>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</si>
  <si>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</si>
  <si>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</si>
  <si>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</si>
  <si>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</si>
  <si>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</si>
  <si>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</si>
  <si>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</si>
  <si>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</si>
  <si>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</si>
  <si>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</si>
  <si>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</si>
  <si>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</si>
  <si>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</si>
  <si>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</si>
  <si>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</si>
  <si>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</si>
  <si>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</si>
  <si>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</si>
  <si>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</si>
  <si>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</si>
  <si>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</si>
  <si>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</si>
  <si>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</si>
  <si>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</si>
  <si>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</si>
  <si>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</si>
  <si>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</si>
  <si>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</si>
  <si>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</si>
  <si>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</si>
  <si>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</si>
  <si>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</si>
  <si>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</si>
  <si>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</si>
  <si>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</si>
  <si>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</si>
  <si>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</si>
  <si>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</si>
  <si>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</si>
  <si>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</si>
  <si>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</si>
  <si>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</si>
  <si>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</si>
  <si>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</si>
  <si>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</si>
  <si>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</si>
  <si>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</si>
  <si>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</si>
  <si>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</si>
  <si>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</si>
  <si>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</si>
  <si>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</si>
  <si>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</si>
  <si>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</si>
  <si>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</si>
  <si>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</si>
  <si>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</si>
  <si>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</si>
  <si>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</si>
  <si>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</si>
  <si>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</si>
  <si>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</si>
  <si>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</si>
  <si>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</si>
  <si>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</si>
  <si>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</si>
  <si>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</si>
  <si>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</si>
  <si>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</si>
  <si>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</si>
  <si>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</si>
  <si>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</si>
  <si>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</si>
  <si>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</si>
  <si>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</si>
  <si>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</si>
  <si>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</si>
  <si>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</si>
  <si>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</si>
  <si>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</si>
  <si>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</si>
  <si>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</si>
  <si>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</si>
  <si>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</si>
  <si>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</si>
  <si>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</si>
  <si>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</si>
  <si>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</si>
  <si>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</si>
  <si>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</si>
  <si>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</si>
  <si>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</si>
  <si>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</si>
  <si>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</si>
  <si>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</si>
  <si>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</si>
  <si>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</si>
  <si>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</si>
  <si>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</si>
  <si>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</si>
  <si>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</si>
  <si>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</si>
  <si>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</si>
  <si>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</si>
  <si>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</si>
  <si>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</si>
  <si>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</si>
  <si>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</si>
  <si>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</si>
  <si>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</si>
  <si>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</si>
  <si>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</si>
  <si>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</si>
  <si>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</si>
  <si>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</si>
  <si>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</si>
  <si>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</si>
  <si>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</si>
  <si>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</si>
  <si>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</si>
  <si>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</si>
  <si>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</si>
  <si>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</si>
  <si>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</si>
  <si>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</si>
  <si>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</si>
  <si>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</si>
  <si>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</si>
  <si>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</si>
  <si>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</si>
  <si>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</si>
  <si>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</si>
  <si>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</si>
  <si>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</si>
  <si>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</si>
  <si>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</si>
  <si>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</si>
  <si>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</si>
  <si>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</si>
  <si>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</si>
  <si>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</si>
  <si>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</si>
  <si>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</si>
  <si>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</si>
  <si>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</si>
  <si>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</si>
  <si>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</si>
  <si>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</si>
  <si>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</si>
  <si>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</si>
  <si>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</si>
  <si>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</si>
  <si>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</si>
  <si>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</si>
  <si>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</si>
  <si>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</si>
  <si>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</si>
  <si>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</si>
  <si>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</si>
  <si>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</si>
  <si>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</si>
  <si>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</si>
  <si>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</si>
  <si>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</si>
  <si>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</si>
  <si>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</si>
  <si>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</si>
  <si>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</si>
  <si>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</si>
  <si>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</si>
  <si>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</si>
  <si>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</si>
  <si>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</si>
  <si>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</si>
  <si>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</si>
  <si>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</si>
  <si>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</si>
  <si>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</si>
  <si>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</si>
  <si>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</si>
  <si>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</si>
  <si>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</si>
  <si>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</si>
  <si>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</si>
  <si>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</si>
  <si>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</si>
  <si>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</si>
  <si>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</si>
  <si>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</si>
  <si>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</si>
  <si>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</si>
  <si>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</si>
  <si>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</si>
  <si>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</si>
  <si>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</si>
  <si>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</si>
  <si>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</si>
  <si>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</si>
  <si>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</si>
  <si>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</si>
  <si>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</si>
  <si>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</si>
  <si>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</si>
  <si>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</si>
  <si>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</si>
  <si>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</si>
  <si>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</si>
  <si>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</si>
  <si>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</si>
  <si>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</si>
  <si>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</si>
  <si>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</si>
  <si>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</si>
  <si>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</si>
  <si>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</si>
  <si>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</si>
  <si>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</si>
  <si>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</si>
  <si>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</si>
  <si>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</si>
  <si>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</si>
  <si>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</si>
  <si>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</si>
  <si>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</si>
  <si>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</si>
  <si>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</si>
  <si>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</si>
  <si>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</si>
  <si>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</si>
  <si>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</si>
  <si>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</si>
  <si>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</si>
  <si>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</si>
  <si>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</si>
  <si>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</si>
  <si>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</si>
  <si>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</si>
  <si>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</si>
  <si>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</si>
  <si>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</si>
  <si>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</si>
  <si>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</si>
  <si>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</si>
  <si>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</si>
  <si>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</si>
  <si>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</si>
  <si>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</si>
  <si>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</si>
  <si>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</si>
  <si>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</si>
  <si>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</si>
  <si>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</si>
  <si>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</si>
  <si>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</si>
  <si>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</si>
  <si>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</si>
  <si>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</si>
  <si>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</si>
  <si>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</si>
  <si>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</si>
  <si>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</si>
  <si>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</si>
  <si>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</si>
  <si>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</si>
  <si>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</si>
  <si>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</si>
  <si>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</si>
  <si>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</si>
  <si>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</si>
  <si>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</si>
  <si>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</si>
  <si>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</si>
  <si>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</si>
  <si>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</si>
  <si>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</si>
  <si>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</si>
  <si>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</si>
  <si>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</si>
  <si>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</si>
  <si>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</si>
  <si>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</si>
  <si>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</si>
  <si>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</si>
  <si>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</si>
  <si>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</si>
  <si>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</si>
  <si>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</si>
  <si>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</si>
  <si>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</si>
  <si>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</si>
  <si>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</si>
  <si>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</si>
  <si>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</si>
  <si>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</si>
  <si>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</si>
  <si>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</si>
  <si>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</si>
  <si>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</si>
  <si>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</si>
  <si>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</si>
  <si>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</si>
  <si>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</si>
  <si>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</si>
  <si>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</si>
  <si>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</si>
  <si>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</si>
  <si>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</si>
  <si>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</si>
  <si>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</si>
  <si>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</si>
  <si>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</si>
  <si>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</si>
  <si>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</si>
  <si>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</si>
  <si>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</si>
  <si>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</si>
  <si>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</si>
  <si>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</si>
  <si>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</si>
  <si>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</si>
  <si>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</si>
  <si>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</si>
  <si>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</si>
  <si>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</si>
  <si>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</si>
  <si>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</si>
  <si>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</si>
  <si>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</si>
  <si>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</si>
  <si>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</si>
  <si>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</si>
  <si>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</si>
  <si>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</si>
  <si>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</si>
  <si>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</si>
  <si>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</si>
  <si>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</si>
  <si>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</si>
  <si>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</si>
  <si>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</si>
  <si>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</si>
  <si>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</si>
  <si>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</si>
  <si>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</si>
  <si>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</si>
  <si>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</si>
  <si>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</si>
  <si>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</si>
  <si>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</si>
  <si>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</si>
  <si>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</si>
  <si>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</si>
  <si>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</si>
  <si>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</si>
  <si>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</si>
  <si>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</si>
  <si>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</si>
  <si>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</si>
  <si>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</si>
  <si>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</si>
  <si>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</si>
  <si>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</si>
  <si>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</si>
  <si>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</si>
  <si>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</si>
  <si>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</si>
  <si>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</si>
  <si>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</si>
  <si>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</si>
  <si>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</si>
  <si>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</si>
  <si>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</si>
  <si>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</si>
  <si>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</si>
  <si>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</si>
  <si>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</si>
  <si>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</si>
  <si>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</si>
  <si>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</si>
  <si>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</si>
  <si>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</si>
  <si>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</si>
  <si>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</si>
  <si>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</si>
  <si>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</si>
  <si>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</si>
  <si>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</si>
  <si>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</si>
  <si>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</si>
  <si>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</si>
  <si>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</si>
  <si>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</si>
  <si>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</si>
  <si>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</si>
  <si>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</si>
  <si>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</si>
  <si>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</si>
  <si>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</si>
  <si>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</si>
  <si>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</si>
  <si>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</si>
  <si>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</si>
  <si>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</si>
  <si>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</si>
  <si>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</si>
  <si>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</si>
  <si>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</si>
  <si>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</si>
  <si>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</si>
  <si>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</si>
  <si>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</si>
  <si>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</si>
  <si>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</si>
  <si>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</si>
  <si>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</si>
  <si>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</si>
  <si>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</si>
  <si>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</si>
  <si>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</si>
  <si>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</si>
  <si>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</si>
  <si>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</si>
  <si>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</si>
  <si>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</si>
  <si>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</si>
  <si>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</si>
  <si>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</si>
  <si>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</si>
  <si>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</si>
  <si>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</si>
  <si>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</si>
  <si>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</si>
  <si>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</si>
  <si>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</si>
  <si>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</si>
  <si>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</si>
  <si>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</si>
  <si>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</si>
  <si>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</si>
  <si>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</si>
  <si>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</si>
  <si>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</si>
  <si>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</si>
  <si>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</si>
  <si>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</si>
  <si>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</si>
  <si>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</si>
  <si>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</si>
  <si>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</si>
  <si>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</si>
  <si>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</si>
  <si>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</si>
  <si>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</si>
  <si>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</si>
  <si>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</si>
  <si>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</si>
  <si>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</si>
  <si>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</si>
  <si>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</si>
  <si>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</si>
  <si>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</si>
  <si>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</si>
  <si>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</si>
  <si>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</si>
  <si>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</si>
  <si>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</si>
  <si>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</si>
  <si>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</si>
  <si>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</si>
  <si>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</si>
  <si>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</si>
  <si>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</si>
  <si>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</si>
  <si>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</si>
  <si>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</si>
  <si>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</si>
  <si>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</si>
  <si>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</si>
  <si>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</si>
  <si>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</si>
  <si>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</si>
  <si>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</si>
  <si>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</si>
  <si>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</si>
  <si>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</si>
  <si>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</si>
  <si>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</si>
  <si>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</si>
  <si>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</si>
  <si>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</si>
  <si>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</si>
  <si>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</si>
  <si>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</si>
  <si>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</si>
  <si>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</si>
  <si>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</si>
  <si>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</si>
  <si>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</si>
  <si>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</si>
  <si>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</si>
  <si>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</si>
  <si>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</si>
  <si>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</si>
  <si>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</si>
  <si>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</si>
  <si>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</si>
  <si>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</si>
  <si>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</si>
  <si>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</si>
  <si>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</si>
  <si>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</si>
  <si>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</si>
  <si>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</si>
  <si>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</si>
  <si>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</si>
  <si>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</si>
  <si>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</si>
  <si>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</si>
  <si>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</si>
  <si>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</si>
  <si>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</si>
  <si>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</si>
  <si>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</si>
  <si>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</si>
  <si>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</si>
  <si>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</si>
  <si>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</si>
  <si>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</si>
  <si>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</si>
  <si>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</si>
  <si>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</si>
  <si>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</si>
  <si>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</si>
  <si>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</si>
  <si>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</si>
  <si>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</si>
  <si>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</si>
  <si>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</si>
  <si>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</si>
  <si>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</si>
  <si>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</si>
  <si>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</si>
  <si>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</si>
  <si>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</si>
  <si>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</si>
  <si>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</si>
  <si>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</si>
  <si>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</si>
  <si>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</si>
  <si>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</si>
  <si>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</si>
  <si>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</si>
  <si>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</si>
  <si>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</si>
  <si>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</si>
  <si>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</si>
  <si>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</si>
  <si>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</si>
  <si>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</si>
  <si>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</si>
  <si>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</si>
  <si>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</si>
  <si>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</si>
  <si>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</si>
  <si>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</si>
  <si>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</si>
  <si>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</si>
  <si>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</si>
  <si>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</si>
  <si>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</si>
  <si>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</si>
  <si>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</si>
  <si>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</si>
  <si>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</si>
  <si>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</si>
  <si>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</si>
  <si>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</si>
  <si>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</si>
  <si>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</si>
  <si>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</si>
  <si>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</si>
  <si>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</si>
  <si>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</si>
  <si>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</si>
  <si>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</si>
  <si>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</si>
  <si>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</si>
  <si>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</si>
  <si>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</si>
  <si>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</si>
  <si>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</si>
  <si>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</si>
  <si>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</si>
  <si>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</si>
  <si>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</si>
  <si>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</si>
  <si>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</si>
  <si>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</si>
  <si>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</si>
  <si>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</si>
  <si>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</si>
  <si>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</si>
  <si>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</si>
  <si>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</si>
  <si>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</si>
  <si>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</si>
  <si>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</si>
  <si>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</si>
  <si>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</si>
  <si>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</si>
  <si>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</si>
  <si>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</si>
  <si>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</si>
  <si>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</si>
  <si>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</si>
  <si>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</si>
  <si>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</si>
  <si>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</si>
  <si>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</si>
  <si>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</si>
  <si>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</si>
  <si>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</si>
  <si>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</si>
  <si>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</si>
  <si>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</si>
  <si>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</si>
  <si>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</si>
  <si>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</si>
  <si>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</si>
  <si>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</si>
  <si>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</si>
  <si>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</si>
  <si>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</si>
  <si>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</si>
  <si>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</si>
  <si>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</si>
  <si>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</si>
  <si>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</si>
  <si>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</si>
  <si>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</si>
  <si>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</si>
  <si>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</si>
  <si>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</si>
  <si>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</si>
  <si>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</si>
  <si>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</si>
  <si>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</si>
  <si>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</si>
  <si>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</si>
  <si>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</si>
  <si>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</si>
  <si>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</si>
  <si>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</si>
  <si>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</si>
  <si>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</si>
  <si>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</si>
  <si>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</si>
  <si>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</si>
  <si>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</si>
  <si>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</si>
  <si>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</si>
  <si>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</si>
  <si>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</si>
  <si>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</si>
  <si>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</si>
  <si>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</si>
  <si>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</si>
  <si>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</si>
  <si>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</si>
  <si>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</si>
  <si>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</si>
  <si>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</si>
  <si>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</si>
  <si>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</si>
  <si>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</si>
  <si>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</si>
  <si>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</si>
  <si>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</si>
  <si>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</si>
  <si>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</si>
  <si>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</si>
  <si>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</si>
  <si>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</si>
  <si>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</si>
  <si>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</si>
  <si>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</si>
  <si>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</si>
  <si>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</si>
  <si>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</si>
  <si>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</si>
  <si>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</si>
  <si>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</si>
  <si>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</si>
  <si>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</si>
  <si>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</si>
  <si>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</si>
  <si>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</si>
  <si>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</si>
  <si>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</si>
  <si>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</si>
  <si>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</si>
  <si>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</si>
  <si>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</si>
  <si>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</si>
  <si>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</si>
  <si>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</si>
  <si>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</si>
  <si>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</si>
  <si>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</si>
  <si>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</si>
  <si>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</si>
  <si>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</si>
  <si>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</si>
  <si>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</si>
  <si>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</si>
  <si>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</si>
  <si>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</si>
  <si>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</si>
  <si>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</si>
  <si>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</si>
  <si>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</si>
  <si>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</si>
  <si>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</si>
  <si>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</si>
  <si>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</si>
  <si>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</si>
  <si>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</si>
  <si>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</si>
  <si>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</si>
  <si>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</si>
  <si>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</si>
  <si>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</si>
  <si>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</si>
  <si>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</si>
  <si>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</si>
  <si>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</si>
  <si>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</si>
  <si>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</si>
  <si>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</si>
  <si>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</si>
  <si>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</si>
  <si>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</si>
  <si>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</si>
  <si>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</si>
  <si>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</si>
  <si>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</si>
  <si>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</si>
  <si>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</si>
  <si>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</si>
  <si>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</si>
  <si>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</si>
  <si>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</si>
  <si>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</si>
  <si>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</si>
  <si>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</si>
  <si>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</si>
  <si>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</si>
  <si>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</si>
  <si>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</si>
  <si>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</si>
  <si>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</si>
  <si>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</si>
  <si>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</si>
  <si>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</si>
  <si>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</si>
  <si>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</si>
  <si>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</si>
  <si>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</si>
  <si>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</si>
  <si>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</si>
  <si>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</si>
  <si>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</si>
  <si>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</si>
  <si>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</si>
  <si>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</si>
  <si>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</si>
  <si>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</si>
  <si>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</si>
  <si>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</si>
  <si>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</si>
  <si>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</si>
  <si>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</si>
  <si>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</si>
  <si>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</si>
  <si>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</si>
  <si>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</si>
  <si>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</si>
  <si>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</si>
  <si>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</si>
  <si>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</si>
  <si>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</si>
  <si>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</si>
  <si>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</si>
  <si>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</si>
  <si>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</si>
  <si>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</si>
  <si>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</si>
  <si>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</si>
  <si>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</si>
  <si>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</si>
  <si>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</si>
  <si>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</si>
  <si>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</si>
  <si>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</si>
  <si>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</si>
  <si>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</si>
  <si>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</si>
  <si>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</si>
  <si>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</si>
  <si>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</si>
  <si>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</si>
  <si>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</si>
  <si>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</si>
  <si>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</si>
  <si>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</si>
  <si>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</si>
  <si>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</si>
  <si>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</si>
  <si>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</si>
  <si>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</si>
  <si>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</si>
  <si>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</si>
  <si>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</si>
  <si>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</si>
  <si>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</si>
  <si>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</si>
  <si>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</si>
  <si>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</si>
  <si>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</si>
  <si>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</si>
  <si>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</si>
  <si>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</si>
  <si>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</si>
  <si>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</si>
  <si>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</si>
  <si>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</si>
  <si>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</si>
  <si>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</si>
  <si>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</si>
  <si>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</si>
  <si>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</si>
  <si>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</si>
  <si>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</si>
  <si>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</si>
  <si>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</si>
  <si>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</si>
  <si>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</si>
  <si>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</si>
  <si>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</si>
  <si>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</si>
  <si>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</si>
  <si>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</si>
  <si>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</si>
  <si>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</si>
  <si>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</si>
  <si>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</si>
  <si>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</si>
  <si>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</si>
  <si>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</si>
  <si>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</si>
  <si>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</si>
  <si>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</si>
  <si>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</si>
  <si>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</si>
  <si>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</si>
  <si>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</si>
  <si>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</si>
  <si>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</si>
  <si>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</si>
  <si>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</si>
  <si>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</si>
  <si>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</si>
  <si>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</si>
  <si>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</si>
  <si>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</si>
  <si>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</si>
  <si>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</si>
  <si>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</si>
  <si>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</si>
  <si>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</si>
  <si>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</si>
  <si>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</si>
  <si>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</si>
  <si>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</si>
  <si>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</si>
  <si>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</si>
  <si>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</si>
  <si>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</si>
  <si>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</si>
  <si>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</si>
  <si>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</si>
  <si>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</si>
  <si>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</si>
  <si>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</si>
  <si>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</si>
  <si>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</si>
  <si>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</si>
  <si>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</si>
  <si>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</si>
  <si>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</si>
  <si>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</si>
  <si>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</si>
  <si>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</si>
  <si>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</si>
  <si>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</si>
  <si>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</si>
  <si>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</si>
  <si>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</si>
  <si>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</si>
  <si>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</si>
  <si>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</si>
  <si>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</si>
  <si>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</si>
  <si>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</si>
  <si>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</si>
  <si>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</si>
  <si>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</si>
  <si>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</si>
  <si>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</si>
  <si>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</si>
  <si>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</si>
  <si>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</si>
  <si>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</si>
  <si>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</si>
  <si>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</si>
  <si>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</si>
  <si>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</si>
  <si>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</si>
  <si>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</si>
  <si>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</si>
  <si>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</si>
  <si>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</si>
  <si>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</si>
  <si>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</si>
  <si>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</si>
  <si>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</si>
  <si>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</si>
  <si>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</si>
  <si>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</si>
  <si>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</si>
  <si>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</si>
  <si>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</si>
  <si>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</si>
  <si>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</si>
  <si>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</si>
  <si>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</si>
  <si>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</si>
  <si>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</si>
  <si>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</si>
  <si>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</si>
  <si>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</si>
  <si>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</si>
  <si>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</si>
  <si>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</si>
  <si>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</si>
  <si>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</si>
  <si>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</si>
  <si>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</si>
  <si>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</si>
  <si>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</si>
  <si>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</si>
  <si>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</si>
  <si>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</si>
  <si>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</si>
  <si>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</si>
  <si>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</si>
  <si>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</si>
  <si>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</si>
  <si>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</si>
  <si>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</si>
  <si>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</si>
  <si>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</si>
  <si>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</si>
  <si>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</si>
  <si>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</si>
  <si>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</si>
  <si>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</si>
  <si>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</si>
  <si>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</si>
  <si>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</si>
  <si>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</si>
  <si>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</si>
  <si>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</si>
  <si>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</si>
  <si>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</si>
  <si>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</si>
  <si>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</si>
  <si>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</si>
  <si>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</si>
  <si>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</si>
  <si>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</si>
  <si>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</si>
  <si>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</si>
  <si>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</si>
  <si>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</si>
  <si>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</si>
  <si>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</si>
  <si>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</si>
  <si>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</si>
  <si>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</si>
  <si>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</si>
  <si>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</si>
  <si>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</si>
  <si>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</si>
  <si>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</si>
  <si>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</si>
  <si>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</si>
  <si>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</si>
  <si>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</si>
  <si>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</si>
  <si>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</si>
  <si>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</si>
  <si>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</si>
  <si>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</si>
  <si>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</si>
  <si>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</si>
  <si>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</si>
  <si>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</si>
  <si>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</si>
  <si>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</si>
  <si>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</si>
  <si>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</si>
  <si>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</si>
  <si>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</si>
  <si>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</si>
  <si>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</si>
  <si>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</si>
  <si>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</si>
  <si>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</si>
  <si>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</si>
  <si>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</si>
  <si>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</si>
  <si>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</si>
  <si>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</si>
  <si>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</si>
  <si>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</si>
  <si>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</si>
  <si>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</si>
  <si>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</si>
  <si>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</si>
  <si>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</si>
  <si>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</si>
  <si>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</si>
  <si>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</si>
  <si>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</si>
  <si>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</si>
  <si>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</si>
  <si>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</si>
  <si>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</si>
  <si>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</si>
  <si>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</si>
  <si>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</si>
  <si>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</si>
  <si>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</si>
  <si>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</si>
  <si>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</si>
  <si>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</si>
  <si>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</si>
  <si>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</si>
  <si>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</si>
  <si>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</si>
  <si>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</si>
  <si>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</si>
  <si>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</si>
  <si>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</si>
  <si>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</si>
  <si>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</si>
  <si>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</si>
  <si>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</si>
  <si>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</si>
  <si>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</si>
  <si>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</si>
  <si>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</si>
  <si>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</si>
  <si>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</si>
  <si>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</si>
  <si>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</si>
  <si>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</si>
  <si>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</si>
  <si>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</si>
  <si>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</si>
  <si>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</si>
  <si>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</si>
  <si>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</si>
  <si>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</si>
  <si>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</si>
  <si>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</si>
  <si>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</si>
  <si>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</si>
  <si>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</si>
  <si>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</si>
  <si>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</si>
  <si>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</si>
  <si>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</si>
  <si>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</si>
  <si>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</si>
  <si>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</si>
  <si>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</si>
  <si>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</si>
  <si>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</si>
  <si>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</si>
  <si>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</si>
  <si>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</si>
  <si>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</si>
  <si>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</si>
  <si>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</si>
  <si>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</si>
  <si>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</si>
  <si>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</si>
  <si>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</si>
  <si>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</si>
  <si>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</si>
  <si>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</si>
  <si>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</si>
  <si>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</si>
  <si>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</si>
  <si>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</si>
  <si>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</si>
  <si>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</si>
  <si>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</si>
  <si>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</si>
  <si>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</si>
  <si>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</si>
  <si>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</si>
  <si>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</si>
  <si>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</si>
  <si>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</si>
  <si>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</si>
  <si>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</si>
  <si>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</si>
  <si>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</si>
  <si>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</si>
  <si>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</si>
  <si>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</si>
  <si>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</si>
  <si>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</si>
  <si>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</si>
  <si>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</si>
  <si>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</si>
  <si>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</si>
  <si>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</si>
  <si>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</si>
  <si>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</si>
  <si>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</si>
  <si>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</si>
  <si>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</si>
  <si>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</si>
  <si>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</si>
  <si>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</si>
  <si>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</si>
  <si>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</si>
  <si>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</si>
  <si>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</si>
  <si>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</si>
  <si>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</si>
  <si>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</si>
  <si>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</si>
  <si>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</si>
  <si>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</si>
  <si>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</si>
  <si>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</si>
  <si>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</si>
  <si>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</si>
  <si>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</si>
  <si>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</si>
  <si>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</si>
  <si>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</si>
  <si>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</si>
  <si>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</si>
  <si>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</si>
  <si>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</si>
  <si>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</si>
  <si>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</si>
  <si>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</si>
  <si>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</si>
  <si>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</si>
  <si>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</si>
  <si>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</si>
  <si>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</si>
  <si>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</si>
  <si>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</si>
  <si>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</si>
  <si>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</si>
  <si>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</si>
  <si>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</si>
  <si>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</si>
  <si>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</si>
  <si>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</si>
  <si>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</si>
  <si>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</si>
  <si>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</si>
  <si>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</si>
  <si>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</si>
  <si>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</si>
  <si>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</si>
  <si>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</si>
  <si>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</si>
  <si>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</si>
  <si>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</si>
  <si>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</si>
  <si>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</si>
  <si>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</si>
  <si>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</si>
  <si>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</si>
  <si>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</si>
  <si>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</si>
  <si>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</si>
  <si>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</si>
  <si>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</si>
  <si>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</si>
  <si>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</si>
  <si>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</si>
  <si>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</si>
  <si>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</si>
  <si>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</si>
  <si>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</si>
  <si>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</si>
  <si>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</si>
  <si>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</si>
  <si>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</si>
  <si>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</si>
  <si>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</si>
  <si>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</si>
  <si>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</si>
  <si>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</si>
  <si>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</si>
  <si>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</si>
  <si>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</si>
  <si>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</si>
  <si>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</si>
  <si>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</si>
  <si>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</si>
  <si>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</si>
  <si>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</si>
  <si>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</si>
  <si>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</si>
  <si>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</si>
  <si>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</si>
  <si>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</si>
  <si>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</si>
  <si>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</si>
  <si>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</si>
  <si>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</si>
  <si>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</si>
  <si>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</si>
  <si>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</si>
  <si>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</si>
  <si>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</si>
  <si>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</si>
  <si>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</si>
  <si>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</si>
  <si>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</si>
  <si>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</si>
  <si>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</si>
  <si>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</si>
  <si>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</si>
  <si>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</si>
  <si>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</si>
  <si>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</si>
  <si>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</si>
  <si>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</si>
  <si>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</si>
  <si>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</si>
  <si>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</si>
  <si>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</si>
  <si>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</si>
  <si>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</si>
  <si>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</si>
  <si>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</si>
  <si>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</si>
  <si>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</si>
  <si>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</si>
  <si>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</si>
  <si>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</si>
  <si>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</si>
  <si>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</si>
  <si>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</si>
  <si>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</si>
  <si>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</si>
  <si>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</si>
  <si>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</si>
  <si>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</si>
  <si>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</si>
  <si>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</si>
  <si>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</si>
  <si>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</si>
  <si>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</si>
  <si>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</si>
  <si>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</si>
  <si>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</si>
  <si>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</si>
  <si>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</si>
  <si>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</si>
  <si>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</si>
  <si>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</si>
  <si>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</si>
  <si>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</si>
  <si>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</si>
  <si>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</si>
  <si>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</si>
  <si>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</si>
  <si>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</si>
  <si>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</si>
  <si>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</si>
  <si>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</si>
  <si>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</si>
  <si>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</si>
  <si>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</si>
  <si>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</si>
  <si>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</si>
  <si>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</si>
  <si>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</si>
  <si>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</si>
  <si>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</si>
  <si>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</si>
  <si>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</si>
  <si>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</si>
  <si>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</si>
  <si>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</si>
  <si>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</si>
  <si>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</si>
  <si>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</si>
  <si>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</si>
  <si>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</si>
  <si>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</si>
  <si>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</si>
  <si>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</si>
  <si>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</si>
  <si>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</si>
  <si>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</si>
  <si>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</si>
  <si>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</si>
  <si>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</si>
  <si>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</si>
  <si>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</si>
  <si>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</si>
  <si>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</si>
  <si>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</si>
  <si>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</si>
  <si>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</si>
  <si>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</si>
  <si>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</si>
  <si>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</si>
  <si>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</si>
  <si>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</si>
  <si>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</si>
  <si>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</si>
  <si>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</si>
  <si>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</si>
  <si>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</si>
  <si>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</si>
  <si>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</si>
  <si>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</si>
  <si>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</si>
  <si>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</si>
  <si>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</si>
  <si>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</si>
  <si>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</si>
  <si>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</si>
  <si>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</si>
  <si>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</si>
  <si>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</si>
  <si>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</si>
  <si>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</si>
  <si>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</si>
  <si>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</si>
  <si>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</si>
  <si>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</si>
  <si>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</si>
  <si>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</si>
  <si>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</si>
  <si>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</si>
  <si>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</si>
  <si>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</si>
  <si>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</si>
  <si>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</si>
  <si>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</si>
  <si>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</si>
  <si>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</si>
  <si>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</si>
  <si>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</si>
  <si>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</si>
  <si>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</si>
  <si>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</si>
  <si>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</si>
  <si>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</si>
  <si>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</si>
  <si>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</si>
  <si>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</si>
  <si>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</si>
  <si>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</si>
  <si>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</si>
  <si>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</si>
  <si>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</si>
  <si>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</si>
  <si>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</si>
  <si>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</si>
  <si>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</si>
  <si>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</si>
  <si>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</si>
  <si>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</si>
  <si>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</si>
  <si>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</si>
  <si>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</si>
  <si>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</si>
  <si>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</si>
  <si>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</si>
  <si>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</si>
  <si>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</si>
  <si>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</si>
  <si>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</si>
  <si>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</si>
  <si>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</si>
  <si>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</si>
  <si>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</si>
  <si>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</si>
  <si>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</si>
  <si>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</si>
  <si>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</si>
  <si>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</si>
  <si>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</si>
  <si>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</si>
  <si>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</si>
  <si>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</si>
  <si>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</si>
  <si>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</si>
  <si>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</si>
  <si>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</si>
  <si>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</si>
  <si>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</si>
  <si>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</si>
  <si>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</si>
  <si>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</si>
  <si>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</si>
  <si>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</si>
  <si>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</si>
  <si>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</si>
  <si>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</si>
  <si>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</si>
  <si>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</si>
  <si>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</si>
  <si>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</si>
  <si>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</si>
  <si>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</si>
  <si>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</si>
  <si>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</si>
  <si>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</si>
  <si>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</si>
  <si>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</si>
  <si>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</si>
  <si>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</si>
  <si>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</si>
  <si>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</si>
  <si>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</si>
  <si>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</si>
  <si>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</si>
  <si>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</si>
  <si>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</si>
  <si>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</si>
  <si>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</si>
  <si>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</si>
  <si>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</si>
  <si>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</si>
  <si>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</si>
  <si>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</si>
  <si>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</si>
  <si>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</si>
  <si>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</si>
  <si>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</si>
  <si>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</si>
  <si>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</si>
  <si>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</si>
  <si>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</si>
  <si>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</si>
  <si>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</si>
  <si>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</si>
  <si>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</si>
  <si>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</si>
  <si>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</si>
  <si>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</si>
  <si>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</si>
  <si>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</si>
  <si>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</si>
  <si>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</si>
  <si>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</si>
  <si>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</si>
  <si>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</si>
  <si>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</si>
  <si>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</si>
  <si>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</si>
  <si>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</si>
  <si>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</si>
  <si>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</si>
  <si>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</si>
  <si>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</si>
  <si>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</si>
  <si>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</si>
  <si>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</si>
  <si>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</si>
  <si>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</si>
  <si>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</si>
  <si>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</si>
  <si>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</si>
  <si>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</si>
  <si>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</si>
  <si>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</si>
  <si>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</si>
  <si>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</si>
  <si>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</si>
  <si>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</si>
  <si>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</si>
  <si>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</si>
  <si>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</si>
  <si>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</si>
  <si>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</si>
  <si>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</si>
  <si>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</si>
  <si>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</si>
  <si>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</si>
  <si>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</si>
  <si>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</si>
  <si>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</si>
  <si>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</si>
  <si>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</si>
  <si>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</si>
  <si>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</si>
  <si>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</si>
  <si>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</si>
  <si>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</si>
  <si>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</si>
  <si>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</si>
  <si>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</si>
  <si>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</si>
  <si>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</si>
  <si>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</si>
  <si>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</si>
  <si>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</si>
  <si>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</si>
  <si>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</si>
  <si>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</si>
  <si>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</si>
  <si>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</si>
  <si>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</si>
  <si>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</si>
  <si>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</si>
  <si>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</si>
  <si>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</si>
  <si>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</si>
  <si>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</si>
  <si>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</si>
  <si>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</si>
  <si>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</si>
  <si>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</si>
  <si>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</si>
  <si>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</si>
  <si>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</si>
  <si>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</si>
  <si>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</si>
  <si>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</si>
  <si>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</si>
  <si>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</si>
  <si>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</si>
  <si>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</si>
  <si>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</si>
  <si>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</si>
  <si>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</si>
  <si>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</si>
  <si>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</si>
  <si>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</si>
  <si>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</si>
  <si>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</si>
  <si>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</si>
  <si>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</si>
  <si>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</si>
  <si>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</si>
  <si>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</si>
  <si>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</si>
  <si>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</si>
  <si>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</si>
  <si>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</si>
  <si>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</si>
  <si>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</si>
  <si>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</si>
  <si>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</si>
  <si>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</si>
  <si>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</si>
  <si>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</si>
  <si>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</si>
  <si>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</si>
  <si>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</si>
  <si>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</si>
  <si>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</si>
  <si>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</si>
  <si>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</si>
  <si>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</si>
  <si>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</si>
  <si>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</si>
  <si>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</si>
  <si>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</si>
  <si>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</si>
  <si>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</si>
  <si>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</si>
  <si>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</si>
  <si>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</si>
  <si>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</si>
  <si>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</si>
  <si>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</si>
  <si>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</si>
  <si>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</si>
  <si>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</si>
  <si>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</si>
  <si>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</si>
  <si>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</si>
  <si>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</si>
  <si>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</si>
  <si>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</si>
  <si>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</si>
  <si>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</si>
  <si>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</si>
  <si>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</si>
  <si>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</si>
  <si>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</si>
  <si>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</si>
  <si>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</si>
  <si>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</si>
  <si>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</si>
  <si>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</si>
  <si>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</si>
  <si>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</si>
  <si>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</si>
  <si>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</si>
  <si>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</si>
  <si>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</si>
  <si>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</si>
  <si>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</si>
  <si>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</si>
  <si>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</si>
  <si>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</si>
  <si>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</si>
  <si>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</si>
  <si>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</si>
  <si>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</si>
  <si>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</si>
  <si>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</si>
  <si>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</si>
  <si>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</si>
  <si>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</si>
  <si>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</si>
  <si>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</si>
  <si>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</si>
  <si>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</si>
  <si>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</si>
  <si>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</si>
  <si>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</si>
  <si>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</si>
  <si>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</si>
  <si>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</si>
  <si>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</si>
  <si>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</si>
  <si>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</si>
  <si>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</si>
  <si>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</si>
  <si>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</si>
  <si>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</si>
  <si>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</si>
  <si>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</si>
  <si>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</si>
  <si>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</si>
  <si>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</si>
  <si>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</si>
  <si>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</si>
  <si>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</si>
  <si>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</si>
  <si>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</si>
  <si>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</si>
  <si>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</si>
  <si>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</si>
  <si>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</si>
  <si>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</si>
  <si>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</si>
  <si>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</si>
  <si>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</si>
  <si>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</si>
  <si>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</si>
  <si>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</si>
  <si>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</si>
  <si>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</si>
  <si>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</si>
  <si>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</si>
  <si>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</si>
  <si>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</si>
  <si>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</si>
  <si>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</si>
  <si>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</si>
  <si>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</si>
  <si>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</si>
  <si>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</si>
  <si>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</si>
  <si>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</si>
  <si>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</si>
  <si>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</si>
  <si>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</si>
  <si>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</si>
  <si>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</si>
  <si>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</si>
  <si>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</si>
  <si>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</si>
  <si>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</si>
  <si>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</si>
  <si>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</si>
  <si>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</si>
  <si>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</si>
  <si>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</si>
  <si>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</si>
  <si>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</si>
  <si>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</si>
  <si>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</si>
  <si>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</si>
  <si>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</si>
  <si>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</si>
  <si>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</si>
  <si>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</si>
  <si>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</si>
  <si>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</si>
  <si>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</si>
  <si>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</si>
  <si>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</si>
  <si>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</si>
  <si>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</si>
  <si>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</si>
  <si>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</si>
  <si>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</si>
  <si>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</si>
  <si>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</si>
  <si>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</si>
  <si>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</si>
  <si>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</si>
  <si>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</si>
  <si>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</si>
  <si>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</si>
  <si>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</si>
  <si>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</si>
  <si>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</si>
  <si>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</si>
  <si>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</si>
  <si>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</si>
  <si>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</si>
  <si>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</si>
  <si>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</si>
  <si>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</si>
  <si>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</si>
  <si>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</si>
  <si>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</si>
  <si>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</si>
  <si>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</si>
  <si>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</si>
  <si>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</si>
  <si>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</si>
  <si>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</si>
  <si>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</si>
  <si>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</si>
  <si>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</si>
  <si>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</si>
  <si>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</si>
  <si>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</si>
  <si>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</si>
  <si>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</si>
  <si>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</si>
  <si>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</si>
  <si>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</si>
  <si>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</si>
  <si>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</si>
  <si>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</si>
  <si>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</si>
  <si>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</si>
  <si>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</si>
  <si>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</si>
  <si>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</si>
  <si>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</si>
  <si>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</si>
  <si>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</si>
  <si>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</si>
  <si>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</si>
  <si>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</si>
  <si>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</si>
  <si>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</si>
  <si>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</si>
  <si>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</si>
  <si>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</si>
  <si>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</si>
  <si>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</si>
  <si>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</si>
  <si>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</si>
  <si>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</si>
  <si>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</si>
  <si>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</si>
  <si>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</si>
  <si>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</si>
  <si>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</si>
  <si>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</si>
  <si>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</si>
  <si>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</si>
  <si>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</si>
  <si>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</si>
  <si>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</si>
  <si>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</si>
  <si>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</si>
  <si>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</si>
  <si>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</si>
  <si>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</si>
  <si>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</si>
  <si>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</si>
  <si>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</si>
  <si>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</si>
  <si>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</si>
  <si>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</si>
  <si>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</si>
  <si>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</si>
  <si>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</si>
  <si>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</si>
  <si>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</si>
  <si>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</si>
  <si>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</si>
  <si>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</si>
  <si>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</si>
  <si>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</si>
  <si>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</si>
  <si>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</si>
  <si>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</si>
  <si>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</si>
  <si>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</si>
  <si>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</si>
  <si>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</si>
  <si>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</si>
  <si>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</si>
  <si>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</si>
  <si>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</si>
  <si>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</si>
  <si>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</si>
  <si>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</si>
  <si>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</si>
  <si>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</si>
  <si>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</si>
  <si>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</si>
  <si>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</si>
  <si>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</si>
  <si>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</si>
  <si>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</si>
  <si>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</si>
  <si>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</si>
  <si>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</si>
  <si>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</si>
  <si>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</si>
  <si>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</si>
  <si>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</si>
  <si>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</si>
  <si>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</si>
  <si>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</si>
  <si>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</si>
  <si>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</si>
  <si>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</si>
  <si>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</si>
  <si>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</si>
  <si>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</si>
  <si>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</si>
  <si>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</si>
  <si>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</si>
  <si>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</si>
  <si>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</si>
  <si>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</si>
  <si>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</si>
  <si>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</si>
  <si>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</si>
  <si>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</si>
  <si>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</si>
  <si>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</si>
  <si>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</si>
  <si>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</si>
  <si>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</si>
  <si>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</si>
  <si>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</si>
  <si>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</si>
  <si>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</si>
  <si>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</si>
  <si>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</si>
  <si>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</si>
  <si>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</si>
  <si>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</si>
  <si>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</si>
  <si>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</si>
  <si>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</si>
  <si>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</si>
  <si>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</si>
  <si>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</si>
  <si>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</si>
  <si>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</si>
  <si>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</si>
  <si>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</si>
  <si>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</si>
  <si>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</si>
  <si>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</si>
  <si>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</si>
  <si>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</si>
  <si>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</si>
  <si>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</si>
  <si>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</si>
  <si>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</si>
  <si>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</si>
  <si>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</si>
  <si>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</si>
  <si>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</si>
  <si>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</si>
  <si>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</si>
  <si>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</si>
  <si>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</si>
  <si>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</si>
  <si>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</si>
  <si>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</si>
  <si>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</si>
  <si>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</si>
  <si>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</si>
  <si>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</si>
  <si>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</si>
  <si>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</si>
  <si>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</si>
  <si>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</si>
  <si>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</si>
  <si>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</si>
  <si>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</si>
  <si>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</si>
  <si>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</si>
  <si>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</si>
  <si>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</si>
  <si>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</si>
  <si>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</si>
  <si>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</si>
  <si>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</si>
  <si>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</si>
  <si>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</si>
  <si>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</si>
  <si>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</si>
  <si>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</si>
  <si>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</si>
  <si>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</si>
  <si>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</si>
  <si>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</si>
  <si>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</si>
  <si>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</si>
  <si>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</si>
  <si>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</si>
  <si>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</si>
  <si>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</si>
  <si>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</si>
  <si>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</si>
  <si>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</si>
  <si>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</si>
  <si>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</si>
  <si>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</si>
  <si>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</si>
  <si>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</si>
  <si>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</si>
  <si>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</si>
  <si>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</si>
  <si>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</si>
  <si>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</si>
  <si>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</si>
  <si>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</si>
  <si>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</si>
  <si>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</si>
  <si>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</si>
  <si>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</si>
  <si>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</si>
  <si>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</si>
  <si>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</si>
  <si>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</si>
  <si>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</si>
  <si>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</si>
  <si>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</si>
  <si>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</si>
  <si>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</si>
  <si>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</si>
  <si>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</si>
  <si>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</si>
  <si>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</si>
  <si>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</si>
  <si>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</si>
  <si>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</si>
  <si>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</si>
  <si>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</si>
  <si>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</si>
  <si>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</si>
  <si>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</si>
  <si>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</si>
  <si>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</si>
  <si>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</si>
  <si>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</si>
  <si>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</si>
  <si>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</si>
  <si>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</si>
  <si>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</si>
  <si>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</si>
  <si>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</si>
  <si>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</si>
  <si>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</si>
  <si>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</si>
  <si>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</si>
  <si>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</si>
  <si>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</si>
  <si>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</si>
  <si>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</si>
  <si>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</si>
  <si>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</si>
  <si>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</si>
  <si>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</si>
  <si>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</si>
  <si>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</si>
  <si>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</si>
  <si>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</si>
  <si>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</si>
  <si>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</si>
  <si>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</si>
  <si>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</si>
  <si>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</si>
  <si>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</si>
  <si>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</si>
  <si>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</si>
  <si>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</si>
  <si>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</si>
  <si>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</si>
  <si>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</si>
  <si>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</si>
  <si>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</si>
  <si>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</si>
  <si>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</si>
  <si>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</si>
  <si>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</si>
  <si>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</si>
  <si>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</si>
  <si>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</si>
  <si>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</si>
  <si>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</si>
  <si>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</si>
  <si>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</si>
  <si>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</si>
  <si>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</si>
  <si>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</si>
  <si>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</si>
  <si>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</si>
  <si>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</si>
  <si>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</si>
  <si>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</si>
  <si>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</si>
  <si>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</si>
  <si>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</si>
  <si>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</si>
  <si>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</si>
  <si>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</si>
  <si>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</si>
  <si>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</si>
  <si>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</si>
  <si>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</si>
  <si>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</si>
  <si>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</si>
  <si>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</si>
  <si>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</si>
  <si>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</si>
  <si>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</si>
  <si>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</si>
  <si>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</si>
  <si>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</si>
  <si>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</si>
  <si>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</si>
  <si>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</si>
  <si>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</si>
  <si>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</si>
  <si>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</si>
  <si>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</si>
  <si>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</si>
  <si>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</si>
  <si>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</si>
  <si>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</si>
  <si>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</si>
  <si>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</si>
  <si>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</si>
  <si>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</si>
  <si>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</si>
  <si>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</si>
  <si>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</si>
  <si>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</si>
  <si>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</si>
  <si>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</si>
  <si>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</si>
  <si>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</si>
  <si>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</si>
  <si>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</si>
  <si>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</si>
  <si>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</si>
  <si>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</si>
  <si>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</si>
  <si>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</si>
  <si>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</si>
  <si>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</si>
  <si>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</si>
  <si>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</si>
  <si>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</si>
  <si>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</si>
  <si>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</si>
  <si>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</si>
  <si>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</si>
  <si>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</si>
  <si>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</si>
  <si>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</si>
  <si>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</si>
  <si>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</si>
  <si>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</si>
  <si>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</si>
  <si>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</si>
  <si>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</si>
  <si>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</si>
  <si>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</si>
  <si>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</si>
  <si>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</si>
  <si>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</si>
  <si>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</si>
  <si>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</si>
  <si>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</si>
  <si>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</si>
  <si>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</si>
  <si>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</si>
  <si>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</si>
  <si>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</si>
  <si>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</si>
  <si>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</si>
  <si>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</si>
  <si>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</si>
  <si>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</si>
  <si>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</si>
  <si>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</si>
  <si>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</si>
  <si>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</si>
  <si>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</si>
  <si>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</si>
  <si>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</si>
  <si>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</si>
  <si>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</si>
  <si>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</si>
  <si>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</si>
  <si>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</si>
  <si>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</si>
  <si>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</si>
  <si>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</si>
  <si>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</si>
  <si>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</si>
  <si>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</si>
  <si>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</si>
  <si>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</si>
  <si>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</si>
  <si>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</si>
  <si>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</si>
  <si>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</si>
  <si>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Avg.Rating</t>
  </si>
  <si>
    <t>Avg.Days</t>
  </si>
  <si>
    <t>For Trends</t>
  </si>
  <si>
    <t>Row Labels</t>
  </si>
  <si>
    <t>Grand Total</t>
  </si>
  <si>
    <t>Column Labels</t>
  </si>
  <si>
    <t>Unknown</t>
  </si>
  <si>
    <t>Female</t>
  </si>
  <si>
    <t>Male</t>
  </si>
  <si>
    <t>Other</t>
  </si>
  <si>
    <t>For Matrix</t>
  </si>
  <si>
    <t>Order Quantity Analysis</t>
  </si>
  <si>
    <t>6 TO 10</t>
  </si>
  <si>
    <t>More than 10</t>
  </si>
  <si>
    <t>Popular Products</t>
  </si>
  <si>
    <t xml:space="preserve"> </t>
  </si>
  <si>
    <t>Jan</t>
  </si>
  <si>
    <t>Feb</t>
  </si>
  <si>
    <t>Mar</t>
  </si>
  <si>
    <t>Observation</t>
  </si>
  <si>
    <t>Conclusion</t>
  </si>
  <si>
    <t>2,400 orders placed in the selected period</t>
  </si>
  <si>
    <t>Indicates strong transaction volume</t>
  </si>
  <si>
    <t>11,997 units sold</t>
  </si>
  <si>
    <t>Customers frequently buy multiple items per order</t>
  </si>
  <si>
    <t>$649.0K total sales</t>
  </si>
  <si>
    <t>Healthy revenue generation with consistent demand</t>
  </si>
  <si>
    <t>4.0 / 5.0</t>
  </si>
  <si>
    <t>Overall customer satisfaction is high</t>
  </si>
  <si>
    <t>2.3 days</t>
  </si>
  <si>
    <t>Fast delivery performance, supporting good customer experience</t>
  </si>
  <si>
    <t>*Orders and revenue show moderate volatility
* Clear peaks around weeks 6 -10
* Slight dip towards the end</t>
  </si>
  <si>
    <t>* App &amp; Website are the most preferred channels
* Female customers dominate across all channels
* Instagram &amp; Partner Apps contribute smaller but steady volumes</t>
  </si>
  <si>
    <t>* Female: ~52%
* Male: ~39%
* Other &amp; Unknown: ~9%</t>
  </si>
  <si>
    <t>* Top-selling categories:
T-Shirts
Jeans
Sneakers
Tank Tops
Bikinis</t>
  </si>
  <si>
    <t>* Most common order sizes:
2 items (highest)
Followed by 1 and 3 items
* Bulk orders (6–10 units) also noticeable</t>
  </si>
  <si>
    <t>* Sales concentrated heavily in California
* Certain regions show significantly higher order density</t>
  </si>
  <si>
    <t>* Majority delivered within:
1–3 days
* Very few deliveries beyond 7 days</t>
  </si>
  <si>
    <t>* 4 &amp; 5-star ratings dominate across all months
* Slight improvement from Jan to Feb
* Stable satisfaction in Mar</t>
  </si>
  <si>
    <t>Consistent customer experience with minimal service issues</t>
  </si>
  <si>
    <t>Logistics performance is efficient and reliable</t>
  </si>
  <si>
    <t>Opportunity for region-specific marketing &amp; faster logistics hubs</t>
  </si>
  <si>
    <t>Female customers are the primary revenue drivers</t>
  </si>
  <si>
    <t>Apparel dominates sales; casual wear performs best
Female customers contribute the majority of volume</t>
  </si>
  <si>
    <t>Strong opportunity for bundles &amp; quantity discounts</t>
  </si>
  <si>
    <t>Mobile-first and digital-native audience</t>
  </si>
  <si>
    <t>Indicates seasonal or campaign-driven spikes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</si>
</sst>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9" tint="-0.249977111117893"/>
        <bgColor indexed="64"/>
      </patternFill>
    </fill>
    <fill>
      <patternFill patternType="solid">
        <fgColor theme="9" tint="0.59999389629810485"/>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5" fontId="0" fillId="0" borderId="0" xfId="0" applyNumberFormat="1"/>
    <xf numFmtId="0" fontId="0" fillId="2" borderId="0" xfId="0"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1" xfId="0" applyNumberFormat="1" applyBorder="1"/>
    <xf numFmtId="0" fontId="0" fillId="0" borderId="0" xfId="0" applyFont="1" applyAlignment="1">
      <alignment horizontal="left"/>
    </xf>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4" borderId="2" xfId="0" applyFill="1" applyBorder="1" applyAlignment="1">
      <alignment horizontal="center" vertical="center"/>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0" fillId="0" borderId="2" xfId="0" applyFont="1" applyBorder="1" applyAlignment="1">
      <alignment horizontal="center" vertical="center" wrapText="1"/>
    </xf>
  </cellXfs>
  <cellStyles count="1">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font>
        <sz val="1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Analytics.xlsx]Pivots!pvtTrend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Last 13 Week Trends – Orders &amp; Revenue</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5C7-4E76-BE93-3129DB8E7C9F}"/>
            </c:ext>
          </c:extLst>
        </c:ser>
        <c:dLbls>
          <c:showLegendKey val="0"/>
          <c:showVal val="0"/>
          <c:showCatName val="0"/>
          <c:showSerName val="0"/>
          <c:showPercent val="0"/>
          <c:showBubbleSize val="0"/>
        </c:dLbls>
        <c:marker val="1"/>
        <c:smooth val="0"/>
        <c:axId val="1770864128"/>
        <c:axId val="1770867968"/>
      </c:lineChart>
      <c:lineChart>
        <c:grouping val="standard"/>
        <c:varyColors val="0"/>
        <c:ser>
          <c:idx val="1"/>
          <c:order val="1"/>
          <c:tx>
            <c:strRef>
              <c:f>Pivots!$C$9</c:f>
              <c:strCache>
                <c:ptCount val="1"/>
                <c:pt idx="0">
                  <c:v>Sum of Amount</c:v>
                </c:pt>
              </c:strCache>
            </c:strRef>
          </c:tx>
          <c:spPr>
            <a:ln w="28575" cap="rnd">
              <a:solidFill>
                <a:schemeClr val="accent5"/>
              </a:solidFill>
              <a:round/>
            </a:ln>
            <a:effectLst/>
          </c:spPr>
          <c:marker>
            <c:symbol val="none"/>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5C7-4E76-BE93-3129DB8E7C9F}"/>
            </c:ext>
          </c:extLst>
        </c:ser>
        <c:dLbls>
          <c:showLegendKey val="0"/>
          <c:showVal val="0"/>
          <c:showCatName val="0"/>
          <c:showSerName val="0"/>
          <c:showPercent val="0"/>
          <c:showBubbleSize val="0"/>
        </c:dLbls>
        <c:marker val="1"/>
        <c:smooth val="0"/>
        <c:axId val="1770862688"/>
        <c:axId val="1770860288"/>
      </c:lineChart>
      <c:catAx>
        <c:axId val="17708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67968"/>
        <c:crosses val="autoZero"/>
        <c:auto val="1"/>
        <c:lblAlgn val="ctr"/>
        <c:lblOffset val="100"/>
        <c:noMultiLvlLbl val="0"/>
      </c:catAx>
      <c:valAx>
        <c:axId val="177086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64128"/>
        <c:crosses val="autoZero"/>
        <c:crossBetween val="between"/>
      </c:valAx>
      <c:valAx>
        <c:axId val="1770860288"/>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62688"/>
        <c:crosses val="max"/>
        <c:crossBetween val="between"/>
      </c:valAx>
      <c:catAx>
        <c:axId val="1770862688"/>
        <c:scaling>
          <c:orientation val="minMax"/>
        </c:scaling>
        <c:delete val="1"/>
        <c:axPos val="b"/>
        <c:numFmt formatCode="General" sourceLinked="1"/>
        <c:majorTickMark val="out"/>
        <c:minorTickMark val="none"/>
        <c:tickLblPos val="nextTo"/>
        <c:crossAx val="17708602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Analytics.xlsx]Order Quantity Analysis!pvtQuantity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Order Size Distribution (Units per Order)</a:t>
            </a:r>
            <a:endParaRPr lang="en-IN" sz="105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Quantity Analysis'!$B$4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Quantity Analysis'!$A$5:$A$12</c:f>
              <c:strCache>
                <c:ptCount val="7"/>
                <c:pt idx="0">
                  <c:v>1</c:v>
                </c:pt>
                <c:pt idx="1">
                  <c:v>2</c:v>
                </c:pt>
                <c:pt idx="2">
                  <c:v>3</c:v>
                </c:pt>
                <c:pt idx="3">
                  <c:v>4</c:v>
                </c:pt>
                <c:pt idx="4">
                  <c:v>5</c:v>
                </c:pt>
                <c:pt idx="5">
                  <c:v>6 TO 10</c:v>
                </c:pt>
                <c:pt idx="6">
                  <c:v>More than 10</c:v>
                </c:pt>
              </c:strCache>
            </c:strRef>
          </c:cat>
          <c:val>
            <c:numRef>
              <c:f>'Order Quantity Analysis'!$B$5:$B$12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378-4263-B4D3-E848BA7100C5}"/>
            </c:ext>
          </c:extLst>
        </c:ser>
        <c:dLbls>
          <c:dLblPos val="outEnd"/>
          <c:showLegendKey val="0"/>
          <c:showVal val="1"/>
          <c:showCatName val="0"/>
          <c:showSerName val="0"/>
          <c:showPercent val="0"/>
          <c:showBubbleSize val="0"/>
        </c:dLbls>
        <c:gapWidth val="7"/>
        <c:overlap val="-27"/>
        <c:axId val="1781257392"/>
        <c:axId val="1781260272"/>
      </c:barChart>
      <c:catAx>
        <c:axId val="178125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0272"/>
        <c:crosses val="autoZero"/>
        <c:auto val="1"/>
        <c:lblAlgn val="ctr"/>
        <c:lblOffset val="100"/>
        <c:noMultiLvlLbl val="0"/>
      </c:catAx>
      <c:valAx>
        <c:axId val="178126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5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Analytics.xlsx]Popular Products Analysis!pvtProducts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Top Selling Products by Gender</a:t>
            </a:r>
            <a:endParaRPr lang="en-IN"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 Analysis'!$B$5:$B$6</c:f>
              <c:strCache>
                <c:ptCount val="1"/>
                <c:pt idx="0">
                  <c:v>Female</c:v>
                </c:pt>
              </c:strCache>
            </c:strRef>
          </c:tx>
          <c:spPr>
            <a:solidFill>
              <a:schemeClr val="accent6"/>
            </a:solidFill>
            <a:ln>
              <a:noFill/>
            </a:ln>
            <a:effectLst/>
          </c:spPr>
          <c:invertIfNegative val="0"/>
          <c:cat>
            <c:strRef>
              <c:f>'Popular Products Analysis'!$A$7:$A$27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 Analysis'!$B$7:$B$27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F84-479D-8C3C-7E3A13B7684B}"/>
            </c:ext>
          </c:extLst>
        </c:ser>
        <c:ser>
          <c:idx val="1"/>
          <c:order val="1"/>
          <c:tx>
            <c:strRef>
              <c:f>'Popular Products Analysis'!$C$5:$C$6</c:f>
              <c:strCache>
                <c:ptCount val="1"/>
                <c:pt idx="0">
                  <c:v>Male</c:v>
                </c:pt>
              </c:strCache>
            </c:strRef>
          </c:tx>
          <c:spPr>
            <a:solidFill>
              <a:schemeClr val="accent5"/>
            </a:solidFill>
            <a:ln>
              <a:noFill/>
            </a:ln>
            <a:effectLst/>
          </c:spPr>
          <c:invertIfNegative val="0"/>
          <c:cat>
            <c:strRef>
              <c:f>'Popular Products Analysis'!$A$7:$A$27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 Analysis'!$C$7:$C$27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EF84-479D-8C3C-7E3A13B7684B}"/>
            </c:ext>
          </c:extLst>
        </c:ser>
        <c:ser>
          <c:idx val="2"/>
          <c:order val="2"/>
          <c:tx>
            <c:strRef>
              <c:f>'Popular Products Analysis'!$D$5:$D$6</c:f>
              <c:strCache>
                <c:ptCount val="1"/>
                <c:pt idx="0">
                  <c:v>Other</c:v>
                </c:pt>
              </c:strCache>
            </c:strRef>
          </c:tx>
          <c:spPr>
            <a:solidFill>
              <a:schemeClr val="accent4"/>
            </a:solidFill>
            <a:ln>
              <a:noFill/>
            </a:ln>
            <a:effectLst/>
          </c:spPr>
          <c:invertIfNegative val="0"/>
          <c:cat>
            <c:strRef>
              <c:f>'Popular Products Analysis'!$A$7:$A$27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 Analysis'!$D$7:$D$27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EF84-479D-8C3C-7E3A13B7684B}"/>
            </c:ext>
          </c:extLst>
        </c:ser>
        <c:ser>
          <c:idx val="3"/>
          <c:order val="3"/>
          <c:tx>
            <c:strRef>
              <c:f>'Popular Products Analysis'!$E$5:$E$6</c:f>
              <c:strCache>
                <c:ptCount val="1"/>
                <c:pt idx="0">
                  <c:v>Unknown</c:v>
                </c:pt>
              </c:strCache>
            </c:strRef>
          </c:tx>
          <c:spPr>
            <a:solidFill>
              <a:schemeClr val="accent6">
                <a:lumMod val="60000"/>
              </a:schemeClr>
            </a:solidFill>
            <a:ln>
              <a:noFill/>
            </a:ln>
            <a:effectLst/>
          </c:spPr>
          <c:invertIfNegative val="0"/>
          <c:cat>
            <c:strRef>
              <c:f>'Popular Products Analysis'!$A$7:$A$27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 Analysis'!$E$7:$E$27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EF84-479D-8C3C-7E3A13B7684B}"/>
            </c:ext>
          </c:extLst>
        </c:ser>
        <c:dLbls>
          <c:showLegendKey val="0"/>
          <c:showVal val="0"/>
          <c:showCatName val="0"/>
          <c:showSerName val="0"/>
          <c:showPercent val="0"/>
          <c:showBubbleSize val="0"/>
        </c:dLbls>
        <c:gapWidth val="10"/>
        <c:overlap val="100"/>
        <c:axId val="1770865568"/>
        <c:axId val="1770854528"/>
      </c:barChart>
      <c:catAx>
        <c:axId val="177086556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54528"/>
        <c:crosses val="autoZero"/>
        <c:auto val="1"/>
        <c:lblAlgn val="ctr"/>
        <c:lblOffset val="100"/>
        <c:noMultiLvlLbl val="0"/>
      </c:catAx>
      <c:valAx>
        <c:axId val="177085452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6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Analytics.xlsx]Popular Products Analysis!pvtGender</c:name>
    <c:fmtId val="2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6944444444444448"/>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888182-C0AB-48D2-B04B-DAB166105854}"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2117348-995E-4C48-9B2B-1703703171C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A2F5FB84-5781-4459-8907-1AA55DBB83A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lumMod val="60000"/>
            </a:schemeClr>
          </a:solidFill>
          <a:ln w="19050">
            <a:solidFill>
              <a:schemeClr val="lt1"/>
            </a:solidFill>
          </a:ln>
          <a:effectLst/>
        </c:spPr>
        <c:dLbl>
          <c:idx val="0"/>
          <c:layout>
            <c:manualLayout>
              <c:x val="0.34444444444444444"/>
              <c:y val="-0.14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24166666666666667"/>
              <c:y val="-6.48148148148148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6BC255-3654-4C04-BD05-A5B05EB0B04C}"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4CD77031-7CA8-4E97-8021-9F609ADAAF72}"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309F7B63-FD0E-4E11-BF33-42D80F78D04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6944444444444448"/>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888182-C0AB-48D2-B04B-DAB166105854}"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2117348-995E-4C48-9B2B-1703703171C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A2F5FB84-5781-4459-8907-1AA55DBB83A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solidFill>
          <a:ln w="19050">
            <a:solidFill>
              <a:schemeClr val="lt1"/>
            </a:solidFill>
          </a:ln>
          <a:effectLst/>
        </c:spPr>
        <c:dLbl>
          <c:idx val="0"/>
          <c:layout>
            <c:manualLayout>
              <c:x val="-0.24166666666666667"/>
              <c:y val="-6.48148148148148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6BC255-3654-4C04-BD05-A5B05EB0B04C}"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4CD77031-7CA8-4E97-8021-9F609ADAAF72}"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309F7B63-FD0E-4E11-BF33-42D80F78D04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solidFill>
          <a:ln w="19050">
            <a:solidFill>
              <a:schemeClr val="lt1"/>
            </a:solidFill>
          </a:ln>
          <a:effectLst/>
        </c:spPr>
        <c:dLbl>
          <c:idx val="0"/>
          <c:layout>
            <c:manualLayout>
              <c:x val="0.34444444444444444"/>
              <c:y val="-0.14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6944444444444448"/>
              <c:y val="4.6296296296296294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6888182-C0AB-48D2-B04B-DAB166105854}" type="CATEGORYNAME">
                  <a:rPr lang="en-US" sz="600"/>
                  <a:pPr>
                    <a:defRPr sz="600"/>
                  </a:pPr>
                  <a:t>[CATEGORY NAME]</a:t>
                </a:fld>
                <a:r>
                  <a:rPr lang="en-US" sz="600" baseline="0"/>
                  <a:t>, </a:t>
                </a:r>
                <a:fld id="{62117348-995E-4C48-9B2B-1703703171CF}" type="VALUE">
                  <a:rPr lang="en-US" sz="600" baseline="0"/>
                  <a:pPr>
                    <a:defRPr sz="600"/>
                  </a:pPr>
                  <a:t>[VALUE]</a:t>
                </a:fld>
                <a:r>
                  <a:rPr lang="en-US" sz="600" baseline="0"/>
                  <a:t>,</a:t>
                </a:r>
              </a:p>
              <a:p>
                <a:pPr>
                  <a:defRPr sz="600"/>
                </a:pPr>
                <a:r>
                  <a:rPr lang="en-US" sz="600" baseline="0"/>
                  <a:t> </a:t>
                </a:r>
                <a:fld id="{A2F5FB84-5781-4459-8907-1AA55DBB83A7}"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solidFill>
          <a:ln w="19050">
            <a:solidFill>
              <a:schemeClr val="lt1"/>
            </a:solidFill>
          </a:ln>
          <a:effectLst/>
        </c:spPr>
        <c:dLbl>
          <c:idx val="0"/>
          <c:layout>
            <c:manualLayout>
              <c:x val="-0.24166666666666667"/>
              <c:y val="-6.4814814814814811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B76BC255-3654-4C04-BD05-A5B05EB0B04C}" type="CATEGORYNAME">
                  <a:rPr lang="en-US" sz="600"/>
                  <a:pPr>
                    <a:defRPr sz="600"/>
                  </a:pPr>
                  <a:t>[CATEGORY NAME]</a:t>
                </a:fld>
                <a:r>
                  <a:rPr lang="en-US" sz="600" baseline="0"/>
                  <a:t>, </a:t>
                </a:r>
                <a:fld id="{4CD77031-7CA8-4E97-8021-9F609ADAAF72}" type="VALUE">
                  <a:rPr lang="en-US" sz="600" baseline="0"/>
                  <a:pPr>
                    <a:defRPr sz="600"/>
                  </a:pPr>
                  <a:t>[VALUE]</a:t>
                </a:fld>
                <a:r>
                  <a:rPr lang="en-US" sz="600" baseline="0"/>
                  <a:t>,</a:t>
                </a:r>
              </a:p>
              <a:p>
                <a:pPr>
                  <a:defRPr sz="600"/>
                </a:pPr>
                <a:r>
                  <a:rPr lang="en-US" sz="600" baseline="0"/>
                  <a:t> </a:t>
                </a:r>
                <a:fld id="{309F7B63-FD0E-4E11-BF33-42D80F78D042}"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solidFill>
          <a:ln w="19050">
            <a:solidFill>
              <a:schemeClr val="lt1"/>
            </a:solidFill>
          </a:ln>
          <a:effectLst/>
        </c:spPr>
        <c:dLbl>
          <c:idx val="0"/>
          <c:layout>
            <c:manualLayout>
              <c:x val="0.36275998046086438"/>
              <c:y val="-0.14351851851851855"/>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0292442A-151D-4879-BCD5-25ED414295C3}" type="CATEGORYNAME">
                  <a:rPr lang="en-US" sz="600"/>
                  <a:pPr>
                    <a:defRPr sz="600"/>
                  </a:pPr>
                  <a:t>[CATEGORY NAME]</a:t>
                </a:fld>
                <a:r>
                  <a:rPr lang="en-US" sz="600" baseline="0"/>
                  <a:t>, </a:t>
                </a:r>
                <a:fld id="{EA1E2360-8559-4AFD-BC34-65F5DDE2EDE7}" type="VALUE">
                  <a:rPr lang="en-US" sz="600" baseline="0"/>
                  <a:pPr>
                    <a:defRPr sz="600"/>
                  </a:pPr>
                  <a:t>[VALUE]</a:t>
                </a:fld>
                <a:r>
                  <a:rPr lang="en-US" sz="600" baseline="0"/>
                  <a:t>,</a:t>
                </a:r>
              </a:p>
              <a:p>
                <a:pPr>
                  <a:defRPr sz="600"/>
                </a:pPr>
                <a:r>
                  <a:rPr lang="en-US" sz="600" baseline="0"/>
                  <a:t> </a:t>
                </a:r>
                <a:fld id="{F7B4042E-4B86-498F-870F-B1B8E55B9FC9}"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315649082406064"/>
                  <c:h val="0.19115378217907705"/>
                </c:manualLayout>
              </c15:layout>
              <c15:dlblFieldTable/>
              <c15:showDataLabelsRange val="0"/>
            </c:ext>
          </c:extLst>
        </c:dLbl>
      </c:pivotFmt>
    </c:pivotFmts>
    <c:plotArea>
      <c:layout/>
      <c:doughnutChart>
        <c:varyColors val="1"/>
        <c:ser>
          <c:idx val="0"/>
          <c:order val="0"/>
          <c:tx>
            <c:strRef>
              <c:f>'Popular Products Analysis'!$K$5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691-4D26-A78C-13CE9C525DC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691-4D26-A78C-13CE9C525DC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691-4D26-A78C-13CE9C525DC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691-4D26-A78C-13CE9C525DC3}"/>
              </c:ext>
            </c:extLst>
          </c:dPt>
          <c:dLbls>
            <c:dLbl>
              <c:idx val="0"/>
              <c:layout>
                <c:manualLayout>
                  <c:x val="0.15"/>
                  <c:y val="4.6296296296296294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91-4D26-A78C-13CE9C525DC3}"/>
                </c:ext>
              </c:extLst>
            </c:dLbl>
            <c:dLbl>
              <c:idx val="1"/>
              <c:layout>
                <c:manualLayout>
                  <c:x val="-0.16944444444444448"/>
                  <c:y val="4.6296296296296294E-2"/>
                </c:manualLayout>
              </c:layout>
              <c:tx>
                <c:rich>
                  <a:bodyPr/>
                  <a:lstStyle/>
                  <a:p>
                    <a:fld id="{A6888182-C0AB-48D2-B04B-DAB166105854}" type="CATEGORYNAME">
                      <a:rPr lang="en-US" sz="600"/>
                      <a:pPr/>
                      <a:t>[CATEGORY NAME]</a:t>
                    </a:fld>
                    <a:r>
                      <a:rPr lang="en-US" sz="600" baseline="0"/>
                      <a:t>, </a:t>
                    </a:r>
                    <a:fld id="{62117348-995E-4C48-9B2B-1703703171CF}" type="VALUE">
                      <a:rPr lang="en-US" sz="600" baseline="0"/>
                      <a:pPr/>
                      <a:t>[VALUE]</a:t>
                    </a:fld>
                    <a:r>
                      <a:rPr lang="en-US" sz="600" baseline="0"/>
                      <a:t>,</a:t>
                    </a:r>
                  </a:p>
                  <a:p>
                    <a:r>
                      <a:rPr lang="en-US" sz="600" baseline="0"/>
                      <a:t> </a:t>
                    </a:r>
                    <a:fld id="{A2F5FB84-5781-4459-8907-1AA55DBB83A7}" type="PERCENTAGE">
                      <a:rPr lang="en-US" sz="600" baseline="0"/>
                      <a:pPr/>
                      <a:t>[PERCENTAGE]</a:t>
                    </a:fld>
                    <a:endParaRPr lang="en-US" sz="600"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691-4D26-A78C-13CE9C525DC3}"/>
                </c:ext>
              </c:extLst>
            </c:dLbl>
            <c:dLbl>
              <c:idx val="2"/>
              <c:layout>
                <c:manualLayout>
                  <c:x val="-0.24166666666666667"/>
                  <c:y val="-6.4814814814814811E-2"/>
                </c:manualLayout>
              </c:layout>
              <c:tx>
                <c:rich>
                  <a:bodyPr/>
                  <a:lstStyle/>
                  <a:p>
                    <a:fld id="{B76BC255-3654-4C04-BD05-A5B05EB0B04C}" type="CATEGORYNAME">
                      <a:rPr lang="en-US" sz="600"/>
                      <a:pPr/>
                      <a:t>[CATEGORY NAME]</a:t>
                    </a:fld>
                    <a:r>
                      <a:rPr lang="en-US" sz="600" baseline="0"/>
                      <a:t>, </a:t>
                    </a:r>
                    <a:fld id="{4CD77031-7CA8-4E97-8021-9F609ADAAF72}" type="VALUE">
                      <a:rPr lang="en-US" sz="600" baseline="0"/>
                      <a:pPr/>
                      <a:t>[VALUE]</a:t>
                    </a:fld>
                    <a:r>
                      <a:rPr lang="en-US" sz="600" baseline="0"/>
                      <a:t>,</a:t>
                    </a:r>
                  </a:p>
                  <a:p>
                    <a:r>
                      <a:rPr lang="en-US" sz="600" baseline="0"/>
                      <a:t> </a:t>
                    </a:r>
                    <a:fld id="{309F7B63-FD0E-4E11-BF33-42D80F78D042}" type="PERCENTAGE">
                      <a:rPr lang="en-US" sz="600" baseline="0"/>
                      <a:pPr/>
                      <a:t>[PERCENTAGE]</a:t>
                    </a:fld>
                    <a:endParaRPr lang="en-US" sz="600"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691-4D26-A78C-13CE9C525DC3}"/>
                </c:ext>
              </c:extLst>
            </c:dLbl>
            <c:dLbl>
              <c:idx val="3"/>
              <c:layout>
                <c:manualLayout>
                  <c:x val="0.36275998046086438"/>
                  <c:y val="-0.14351851851851855"/>
                </c:manualLayout>
              </c:layout>
              <c:tx>
                <c:rich>
                  <a:bodyPr/>
                  <a:lstStyle/>
                  <a:p>
                    <a:fld id="{0292442A-151D-4879-BCD5-25ED414295C3}" type="CATEGORYNAME">
                      <a:rPr lang="en-US" sz="600"/>
                      <a:pPr/>
                      <a:t>[CATEGORY NAME]</a:t>
                    </a:fld>
                    <a:r>
                      <a:rPr lang="en-US" sz="600" baseline="0"/>
                      <a:t>, </a:t>
                    </a:r>
                    <a:fld id="{EA1E2360-8559-4AFD-BC34-65F5DDE2EDE7}" type="VALUE">
                      <a:rPr lang="en-US" sz="600" baseline="0"/>
                      <a:pPr/>
                      <a:t>[VALUE]</a:t>
                    </a:fld>
                    <a:r>
                      <a:rPr lang="en-US" sz="600" baseline="0"/>
                      <a:t>,</a:t>
                    </a:r>
                  </a:p>
                  <a:p>
                    <a:r>
                      <a:rPr lang="en-US" sz="600" baseline="0"/>
                      <a:t> </a:t>
                    </a:r>
                    <a:fld id="{F7B4042E-4B86-498F-870F-B1B8E55B9FC9}" type="PERCENTAGE">
                      <a:rPr lang="en-US" sz="600" baseline="0"/>
                      <a:pPr/>
                      <a:t>[PERCENTAGE]</a:t>
                    </a:fld>
                    <a:endParaRPr lang="en-US" sz="600" baseline="0"/>
                  </a:p>
                </c:rich>
              </c:tx>
              <c:showLegendKey val="0"/>
              <c:showVal val="1"/>
              <c:showCatName val="1"/>
              <c:showSerName val="0"/>
              <c:showPercent val="1"/>
              <c:showBubbleSize val="0"/>
              <c:extLst>
                <c:ext xmlns:c15="http://schemas.microsoft.com/office/drawing/2012/chart" uri="{CE6537A1-D6FC-4f65-9D91-7224C49458BB}">
                  <c15:layout>
                    <c:manualLayout>
                      <c:w val="0.22315649082406064"/>
                      <c:h val="0.19115378217907705"/>
                    </c:manualLayout>
                  </c15:layout>
                  <c15:dlblFieldTable/>
                  <c15:showDataLabelsRange val="0"/>
                </c:ext>
                <c:ext xmlns:c16="http://schemas.microsoft.com/office/drawing/2014/chart" uri="{C3380CC4-5D6E-409C-BE32-E72D297353CC}">
                  <c16:uniqueId val="{00000007-E691-4D26-A78C-13CE9C525DC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Products Analysis'!$J$6:$J$10</c:f>
              <c:strCache>
                <c:ptCount val="4"/>
                <c:pt idx="0">
                  <c:v>Female</c:v>
                </c:pt>
                <c:pt idx="1">
                  <c:v>Male</c:v>
                </c:pt>
                <c:pt idx="2">
                  <c:v>Other</c:v>
                </c:pt>
                <c:pt idx="3">
                  <c:v>Unknown</c:v>
                </c:pt>
              </c:strCache>
            </c:strRef>
          </c:cat>
          <c:val>
            <c:numRef>
              <c:f>'Popular Products Analysis'!$K$6:$K$10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691-4D26-A78C-13CE9C525DC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 Analytics.xlsx]Delivery Time!pvtDuration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i="0" u="none" strike="noStrike" baseline="0">
                <a:solidFill>
                  <a:schemeClr val="tx1"/>
                </a:solidFill>
              </a:rPr>
              <a:t>Order Delivery Time Distribution (Days)</a:t>
            </a:r>
            <a:endParaRPr lang="en-IN" sz="9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'Delivery Time'!$B$4:$B$19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612-4448-ABEF-A5017ECF114D}"/>
            </c:ext>
          </c:extLst>
        </c:ser>
        <c:dLbls>
          <c:dLblPos val="outEnd"/>
          <c:showLegendKey val="0"/>
          <c:showVal val="1"/>
          <c:showCatName val="0"/>
          <c:showSerName val="0"/>
          <c:showPercent val="0"/>
          <c:showBubbleSize val="0"/>
        </c:dLbls>
        <c:gapWidth val="10"/>
        <c:overlap val="-27"/>
        <c:axId val="150920608"/>
        <c:axId val="150937408"/>
      </c:barChart>
      <c:catAx>
        <c:axId val="1509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37408"/>
        <c:crosses val="autoZero"/>
        <c:auto val="1"/>
        <c:lblAlgn val="ctr"/>
        <c:lblOffset val="100"/>
        <c:noMultiLvlLbl val="0"/>
      </c:catAx>
      <c:valAx>
        <c:axId val="15093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Analytics.xlsx]Cx Satisfaction!pvtRating</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Customer Satisfaction Trend by Month</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'Cx Satisfaction'!$B$3:$B$4</c:f>
              <c:strCache>
                <c:ptCount val="1"/>
                <c:pt idx="0">
                  <c:v>1</c:v>
                </c:pt>
              </c:strCache>
            </c:strRef>
          </c:tx>
          <c:spPr>
            <a:solidFill>
              <a:schemeClr val="accent6"/>
            </a:solidFill>
            <a:ln>
              <a:noFill/>
            </a:ln>
            <a:effectLst/>
          </c:spPr>
          <c:invertIfNegative val="0"/>
          <c:cat>
            <c:strRef>
              <c:f>'Cx Satisfaction'!$A$5:$A$8</c:f>
              <c:strCache>
                <c:ptCount val="3"/>
                <c:pt idx="0">
                  <c:v>Jan</c:v>
                </c:pt>
                <c:pt idx="1">
                  <c:v>Feb</c:v>
                </c:pt>
                <c:pt idx="2">
                  <c:v>Mar</c:v>
                </c:pt>
              </c:strCache>
            </c:strRef>
          </c:cat>
          <c:val>
            <c:numRef>
              <c:f>'Cx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D17D-4798-B5C9-260D0BA905E9}"/>
            </c:ext>
          </c:extLst>
        </c:ser>
        <c:ser>
          <c:idx val="1"/>
          <c:order val="1"/>
          <c:tx>
            <c:strRef>
              <c:f>'Cx Satisfaction'!$C$3:$C$4</c:f>
              <c:strCache>
                <c:ptCount val="1"/>
                <c:pt idx="0">
                  <c:v>2</c:v>
                </c:pt>
              </c:strCache>
            </c:strRef>
          </c:tx>
          <c:spPr>
            <a:solidFill>
              <a:schemeClr val="accent5"/>
            </a:solidFill>
            <a:ln>
              <a:noFill/>
            </a:ln>
            <a:effectLst/>
          </c:spPr>
          <c:invertIfNegative val="0"/>
          <c:cat>
            <c:strRef>
              <c:f>'Cx Satisfaction'!$A$5:$A$8</c:f>
              <c:strCache>
                <c:ptCount val="3"/>
                <c:pt idx="0">
                  <c:v>Jan</c:v>
                </c:pt>
                <c:pt idx="1">
                  <c:v>Feb</c:v>
                </c:pt>
                <c:pt idx="2">
                  <c:v>Mar</c:v>
                </c:pt>
              </c:strCache>
            </c:strRef>
          </c:cat>
          <c:val>
            <c:numRef>
              <c:f>'Cx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D17D-4798-B5C9-260D0BA905E9}"/>
            </c:ext>
          </c:extLst>
        </c:ser>
        <c:ser>
          <c:idx val="2"/>
          <c:order val="2"/>
          <c:tx>
            <c:strRef>
              <c:f>'Cx Satisfaction'!$D$3:$D$4</c:f>
              <c:strCache>
                <c:ptCount val="1"/>
                <c:pt idx="0">
                  <c:v>3</c:v>
                </c:pt>
              </c:strCache>
            </c:strRef>
          </c:tx>
          <c:spPr>
            <a:solidFill>
              <a:schemeClr val="accent4"/>
            </a:solidFill>
            <a:ln>
              <a:noFill/>
            </a:ln>
            <a:effectLst/>
          </c:spPr>
          <c:invertIfNegative val="0"/>
          <c:cat>
            <c:strRef>
              <c:f>'Cx Satisfaction'!$A$5:$A$8</c:f>
              <c:strCache>
                <c:ptCount val="3"/>
                <c:pt idx="0">
                  <c:v>Jan</c:v>
                </c:pt>
                <c:pt idx="1">
                  <c:v>Feb</c:v>
                </c:pt>
                <c:pt idx="2">
                  <c:v>Mar</c:v>
                </c:pt>
              </c:strCache>
            </c:strRef>
          </c:cat>
          <c:val>
            <c:numRef>
              <c:f>'Cx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D17D-4798-B5C9-260D0BA905E9}"/>
            </c:ext>
          </c:extLst>
        </c:ser>
        <c:ser>
          <c:idx val="3"/>
          <c:order val="3"/>
          <c:tx>
            <c:strRef>
              <c:f>'Cx Satisfaction'!$E$3:$E$4</c:f>
              <c:strCache>
                <c:ptCount val="1"/>
                <c:pt idx="0">
                  <c:v>4</c:v>
                </c:pt>
              </c:strCache>
            </c:strRef>
          </c:tx>
          <c:spPr>
            <a:solidFill>
              <a:schemeClr val="accent6">
                <a:lumMod val="60000"/>
              </a:schemeClr>
            </a:solidFill>
            <a:ln>
              <a:noFill/>
            </a:ln>
            <a:effectLst/>
          </c:spPr>
          <c:invertIfNegative val="0"/>
          <c:cat>
            <c:strRef>
              <c:f>'Cx Satisfaction'!$A$5:$A$8</c:f>
              <c:strCache>
                <c:ptCount val="3"/>
                <c:pt idx="0">
                  <c:v>Jan</c:v>
                </c:pt>
                <c:pt idx="1">
                  <c:v>Feb</c:v>
                </c:pt>
                <c:pt idx="2">
                  <c:v>Mar</c:v>
                </c:pt>
              </c:strCache>
            </c:strRef>
          </c:cat>
          <c:val>
            <c:numRef>
              <c:f>'Cx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3-D17D-4798-B5C9-260D0BA905E9}"/>
            </c:ext>
          </c:extLst>
        </c:ser>
        <c:ser>
          <c:idx val="4"/>
          <c:order val="4"/>
          <c:tx>
            <c:strRef>
              <c:f>'Cx Satisfaction'!$F$3:$F$4</c:f>
              <c:strCache>
                <c:ptCount val="1"/>
                <c:pt idx="0">
                  <c:v>5</c:v>
                </c:pt>
              </c:strCache>
            </c:strRef>
          </c:tx>
          <c:spPr>
            <a:solidFill>
              <a:schemeClr val="accent5">
                <a:lumMod val="60000"/>
              </a:schemeClr>
            </a:solidFill>
            <a:ln>
              <a:noFill/>
            </a:ln>
            <a:effectLst/>
          </c:spPr>
          <c:invertIfNegative val="0"/>
          <c:cat>
            <c:strRef>
              <c:f>'Cx Satisfaction'!$A$5:$A$8</c:f>
              <c:strCache>
                <c:ptCount val="3"/>
                <c:pt idx="0">
                  <c:v>Jan</c:v>
                </c:pt>
                <c:pt idx="1">
                  <c:v>Feb</c:v>
                </c:pt>
                <c:pt idx="2">
                  <c:v>Mar</c:v>
                </c:pt>
              </c:strCache>
            </c:strRef>
          </c:cat>
          <c:val>
            <c:numRef>
              <c:f>'Cx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6-D17D-4798-B5C9-260D0BA905E9}"/>
            </c:ext>
          </c:extLst>
        </c:ser>
        <c:dLbls>
          <c:showLegendKey val="0"/>
          <c:showVal val="0"/>
          <c:showCatName val="0"/>
          <c:showSerName val="0"/>
          <c:showPercent val="0"/>
          <c:showBubbleSize val="0"/>
        </c:dLbls>
        <c:gapWidth val="219"/>
        <c:overlap val="-27"/>
        <c:axId val="150840112"/>
        <c:axId val="150836272"/>
      </c:barChart>
      <c:catAx>
        <c:axId val="1508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6272"/>
        <c:crosses val="autoZero"/>
        <c:auto val="1"/>
        <c:lblAlgn val="ctr"/>
        <c:lblOffset val="100"/>
        <c:noMultiLvlLbl val="0"/>
      </c:catAx>
      <c:valAx>
        <c:axId val="15083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sz="1100" b="1">
                <a:solidFill>
                  <a:schemeClr val="tx1"/>
                </a:solidFill>
              </a:rPr>
              <a:t>Customer Geographic Distribution (California)</a:t>
            </a:r>
            <a:endParaRPr lang="en-US" sz="1100" b="1" i="0" u="none" strike="noStrike" baseline="0">
              <a:solidFill>
                <a:schemeClr val="tx1"/>
              </a:solidFill>
              <a:latin typeface="Aptos Narrow" panose="02110004020202020204"/>
            </a:endParaRPr>
          </a:p>
        </cx:rich>
      </cx:tx>
    </cx:title>
    <cx:plotArea>
      <cx:plotAreaRegion>
        <cx:series layoutId="regionMap" uniqueId="{928442A0-8B19-440C-94A3-05E14597FA68}">
          <cx:tx>
            <cx:txData>
              <cx:f>_xlchart.v5.6</cx:f>
              <cx:v>Sum of Quantity</cx:v>
            </cx:txData>
          </cx:tx>
          <cx:spPr>
            <a:ln>
              <a:solidFill>
                <a:schemeClr val="tx1"/>
              </a:solidFill>
            </a:ln>
          </cx:spPr>
          <cx:dataLabels>
            <cx:visibility seriesName="0" categoryName="0" value="1"/>
          </cx:dataLabels>
          <cx:dataId val="0"/>
          <cx:layoutPr>
            <cx:geography cultureLanguage="en-US" cultureRegion="IN" attribution="Powered by Bing">
              <cx:geoCache provider="{E9337A44-BEBE-4D9F-B70C-5C5E7DAFC167}">
                <cx:binary>7H1pb+NIsu1fKdTnR3cuZC6D6QGGpCTvZZdr/0KobRX3NZPrr79BLzUWJdfQQBsPV7jqWeCmIhXk
YUZGnIiM/Odt94/bZLOu3nVpkql/3HZ/vg+0Lv7xxx/qNtika3WUhrdVrvKf+ug2T//If/4Mbzd/
3FXrNsz8PwjC5h+3wbrSm+79v/4Jo/mb/Dy/Xeswz67rTdV/3Kg60eo31/Zeere+S8PMDZWuwluN
/3zvrJPwZ15l4fr99jXy5/szUEW9c/I60/37d5tMh7r/1BebP99vjULev/tj+mM7ir1LQHdd34Ew
ZUeUcE5M05IPn/fvkjzzHy8bGMsjBtcwwfzpZy/XKUjOVuhenfXdXbVRCm7r/v+n4lv3AA/i3//t
AdyOD2J88j6A8Of7z1moN3fvbvRab9T7d6HK759U1Tv5eJefb+4fyx/b2P3rn5N/AQ9q8m+ewTt9
qv/t0jaC/wXdk7TYVOE6eQOAyRGXRFgmxej+Q6cAW0cWsywLc3Z/HW/D/BrN9iO9M8IMsHdkDgxv
J4e3dw1oKz3+7989qcURwkJKSvnDnBYTzAk5wtQUFsdw5cGWPEzq1+q1H/G9o8xAfa/cgSH/7wSs
591bgM6PBDIFEYw+gA72esuSA+gEDD1nsEY8x/wVGu2HezrADKSnIgcG8vk63rzBtJZHCMw4R5I+
mHIAcoqwxBZmgrNtiOfqsx/fLekZ4G59/8CQ/XdShNlbYCuOmKQWw5a532SDH8bhY1nc3MZ2vkb7
0Z3Iz8B3InFoCKfru7x6g9krjigYX0QEALg9bRFASwjMarnPA/v3bIVeAHhbfg7A2xIHBjBEWetm
U63fIpoSR1gygiGiesFCoyMmkCTUnFjoVym1H+fdIWZAvSt0YGjf5Mk6y99kOhMLm4Lzx8UY4qbt
WU1gtZbCQlOo52u0H+eJ/AyQJxIHhrBda/0WK7I8sjBMVPTSikzwkWWZDAM1sr0iz1ZoP77b4jPg
3Rb4X4Du71XcuuORNwEy6CFe2cN3vZbu4kcEMGMSPyy1aDprR7oLc8KxiZ/osOexEpjLXwzdyzrt
x/W57NY9Ptzi7x/K/zpGy8mTWr1FmCuPyLiAgqf8whILdhcJyqRpPb03T9zGXI1ewG/7jvZAuPWv
gLOdPIMDQ9jdJO8uc2DF//7F1cRH3DLBKR5ZrPGzw2WY8BaYFLiMCZnxKqX247w7xBau+9npXaED
Q/tiU90Cw+787VwlP6KISSbYI9Q7XCU6MgWWHHNzX3Q0X6/9aE/kZ0A9kTgwnBfJOzevIAR+A6jF
ESeSWeSRoJRy6jJDICwlONXW3lTEq1Tbj/buEDMA3xU6MMyXkJp7kxiJHXGKIbkEWcSHzwTwkdQS
FvyDJ2v1fI324zyRnwHyROLAEL4ZY6S3ILUkJJIIAcbjEeEd642P2Bgnm3JCeMzXaD/CE/kZCE8k
DgzhVbLJsjew2RAFE2RhSQC/Kb+BpcCcWhMXbLYm+4HdFp+B67bAgcF6XKd/5cmd/vuRNWGxFQxm
5i6y5hFmmCLIJT5Z7ecx8GtU2g/xzggzUN6ROTCgv8Ajru9LAuq/ucIHQiUBATF6qRgAFmHIPWDE
0KQY4BUq7cd5OsAMmKciB4bySda/hWPNIPVPwE7zx+Th1LHGY15CMibEBOK5+uzHd0t6Brhb3z8w
ZC/WVVjkb8J4cQiATcItQR4Yrz2cpWQmFwQqA+4/27zXazTbj/POCDOw3pE5MLzPNtVbuFvWEeX3
OYeHCHgfPz2WdoHTPS3HnKnPfoS37mYGulvfPzBkb/IsT9+CuRZHJpVMQnbhYR5PKzGhQItji5kw
27dn8HyN9qM7kZ+B70Ti0BAOVRz2ef0GTjUQ1xSDpX4qwpuuxIAxgzIfCzFA/7lXffMKnV5AeTrC
HJynMgeG9Plaqc0b2GkInkwo1RLycUlGO3MZCj3gsinYxE7P12g/yhP5GRhPJA4M4Zt1BiXU9rr6
a/1G0ZNJEKAIGeMn52qLBhkTxlJQE0PGcY/z9Wr19qO+f5gZ4O8XPLx34J29gS0gbxRbWcBgEvrC
BhkoAzERQcCkTBnOdfYKrV7EfTrGPNCnUgeG+AXsn9hUm/7vX8FhQxTjbKzqeslLA0YbnDRGp3X0
r9FpP9o7I8zAekfmwJA+z9W7f2f+Jtm8Rb2meYQsQqh42v02TV8AcUJMCnW7UHU/fiaVXq9Ubj/q
+waZAfw+sQPD/mMIdboqvHuDChNKj6RAFqWPcfZuoA11CVDFC9sewYV/7qi/Sqn9iO8OMQPvXaED
Q/ty06zfZGMU8NuMcGDAHyvGdnx1DNvloFxsJ0c5X6P9OE/kZ4A8kTgwhC/Wd1B3/yZrNlTdQyKS
PyI8ZUgJOoKAG3gVPJnM8zXaj/BEfgbCE4mDQ7gK3yDcpvxIctMCeB9Lh6brNNAqFsVjmDZJcIw0
9CyFXsL3ufgseJ8LHBi6l+viLWYv+FhAippQQ/IiLwqZaCjEF5NKg7n67Md2S3oGtFvfPzBkLzbZ
XX4bvkkRGJQIjWlJzh/h3THOFGp5OaN0rPJ97mm9Sqn9GO8OMQPoXaEDQ/t7/ddbzOMRaAzFfvKl
zW+wYQa2JguInbeBnqvPfoy3pGfAu/X9A0P2Iodp/Pc7WFCPb0okoQ3MI8m5UwyGjiwTdtZAYnIb
2tkK7cd2W3wGuNsCB4YukLnv3HDjvwXNeZ975Ba0ipnU+WEO1WBUYPFEgG4D/Cqd9oO8O8QMoHeF
DgxsIPbeAmdwtqCHwK/dFjs7a8ZqMCIE2PBpqDRTn/0Yb93NDHi3vn9gyH6o1kBo/v1WGjgtSFOZ
QrCXekhAixgLugywKY85X6P96E7kZ+A7kTgwhK+S9e2blNuLI5iZI8aP21f3UVl8bPVFHpKRkzk8
X6/9OE/kZ+A8kTg4nGtoH/gGM1keSco47JR6zDrv7H9ER1BbAA4ZnWycuUrmavQSwlvysxDekjgw
hG/WtxU07MreJLUsjiwOXX9M6Ahy/9lBeXS7x3+gInBP9ul1uu3He88YMzDfI3VwuI/J+ypbV3dv
w4rAHgsoygev+rF9yNSSg9tNgPMCa7/rb79OsZeA33uDs8DfK3mAL8ASHLXbUN3mTxDsaUABlOTr
Gq5y2HaDEIdS/F9L9FZBEVDZUHEENYR0D/K/NJqz5rwM/O4wM3HfFTxA2E/zdVnPyxq8GnsJSQyT
AMD3n+mkh1oiIqEXr5QPiaxJucEY875CuZfxnw4yE/2p2KFhH6zfpB0rFItC1z7gUOhLxCg5AoIF
CSgbfrI0Dy1LbmZr9ALW2/JzYN6WODSEYQKd16F69+GvUBVvQa9YsNmOMKgmABs/fnaSHVAXDCUn
0DRqj3V/pWovYP7CPc4B/wXRA3wLLqBR+Fvgf79Xi3OIy15w6aEJLxGQEDP32PbZSr2M/PYQMzHf
Fjo0tMNN9SZFJ7AzniEKm6QfgrN9WwDgItSOQw/AR1PwPLt5M1uvF9Delp8D9bbEoeF8vxHASd5m
GwBUA0IVKLRofalLET4Cjx5DEdmEkAGfbWzxPletF7DeM8gcwPeIHSbqVT3MiYhe6a6zseoIm+gp
6zlNjUGoBu18YaXfaW7y8OBnavVbzJ+PMR/y51KHhrheZ6FK1vVb8K4cdm0haGnCXuqwDqWiaKwI
55M6Mzh55BVavYD47hhzEN+VOjDEv+fJW7hq0HGdQ8MEqCubZLwhCocLHEMTlO1wbK4i++Hdkp4B
7Nb3DwzST5tg/RZ7rCHUhnNsGGzqeGG7Hphs6OkLe7XwAwUzQXi+XvsxnsjPQHkicWg4QzUsHFT1
96/NY/ci6IEAbNpjRdJO7oRAhgwaV0Gj2O1J/Gm+Si9gPBlgDsgTkUNDuQb39i0KGuBwMorGmfpy
t2YiR7/bmpSdfZqt0QsYb8vPgXhb4uAQhubH6ZscfAKl/QIyXUB630fJ+xgzCLIxFmQH4/k6vYTy
ZIRZOE9k/n8g/fIpdb/O+nPXer24PyXw2UF1v796/5DgbMOJ6GNN9p7c15NhPbn7870FhNezVNg4
xlYx9/Pu5w80yH+kNsC7//kezhqEpOi4FxNBW2cL2oLCgO3m4RIxYZc18Cjgngvo3j6yZxn0ng7+
fG9CEIbHgjY0tmyHjtHgmau8Hi/RcVcIDAgJNwHkO7TN+XV+41We9H6e/Xogj3+/y+r0Kg8zrf58
j+E3ioev3auKLAleA5yuxGBzMIUkDviNxe3643gwI3z7/+mB5kVZ191l1lK5aFovKOycRjx2Yt42
18yw+tOoa7J4gVCsv+vcbD7HpupKW8ms/Prs6e3TBha4qTaQHoaTRqAvMhz7NS5zz7Uxs76IZVA3
l6TM8KUfD5ln1zxngdM1Opd205r1d94URmhXqdClU0ZV7NveoLjpQJVRdie1Rh9gjKB2SZLgz4Nl
CLzqmeVtcG/gbvl7jQl0sdnRGPZWQ9MMyIJBd0E00TjkAWDb60vaWb7vsm5IPjdwhAZdat7nlt30
HY7ckHvCHjjrQ7uPEV2lTdVjt2pyfRd0SmEnNArLVXA4Z2PrNECNzSsr9hd+HgVXcS1PUyUD5UIq
Rn5RQXkWJ63VLUJlsIuwCpp09fu72oUB6q0QHLEIvcihTvb+pp+9FLw3/NYoEnWZaU9+yX2BiW3G
BF6NIqu7q7ar5E3h4eTb7392fNeev4uwIRkO7+MUOuHDnihCR7We/ayFOt8slJ9dZmLAlzgO6stM
VU4ovODL738Jps/OL0locMChlwmU9ovJe1ZkZj+UVZBfigKZ67LNq2TladETOy6CBSrrZHAo6kXu
RNRq0//20owvxfaNwosCve1MODIHmlJOfx426oeBn6XhJS9ja51GtbWOk1EHa0jVglV5bvcIoF+1
SdkSu4xzvtGJVCet7M3zjtEKObSN8tiJeJZ+plVBqBuIvt8URlO4yBhS7lgyN6tji7Khtn//9MZG
xlP9+Wg2oD0InL0H8eY2UIjVVmZZnnGBay9dh5VWvo2NWGemTfs+80/bIIz/8oUszruhDJYsN7vQ
IbjhPzUfhtzpA587Zh41m7Ci/K6xioCf/l5J09oBmZoUXqLRl4bchMVhqX3+OrFKhKgKNL2IzLLw
pHC1DIZVpzsql7qpa6fqSnTdpL1V20EQcKfC2UqRqlglZkGcOCnTj0VipZ3Nk9b/2kZpftIrre3C
KovPTMXC9crMc+o8ikI71DRqbS9S2WVbGOpDaQx04ftYRrYxeFnqkCZIjy2mk48k8q/8PqOdndS8
vNRe+UmT1KAuawg8yLAnYBvMehhs1IroPAks8d1DtXkaMIHPB79rpNOiwEzhrIY+PDFE1ad224vB
xa1luEPU3Raq1Dc1Mnhgt6nmS0+V9YnpEfKpDHAbrzxu4NAegtj7C/jhqrHDrDR+1ClP3aJQ5CTO
s+IElzK5C5uCwbynaXwTSq/jdlOa/mnlVbXTw3NYYZPID2Wbdguzrcolxh1uFgmc0uk7TeuL0mlI
4C1SRSu3LuSHwDN85GKc62NYakjrZChittA8+dalKDgjlSxuLKqtVS0jgywVS4e1YHm1UKiLhmUT
C39pdB1aE5W0P5VfFJYzEI1qO/NJ4y87HeUwOdp20ftNLZZV7gVuoml6nMFXbWg6WOXwoNOG25GK
IsPhXsttnlvdYJs68RyqjSxdVSxe+Gbdo+uWYhPOO65QYkfwJukl1a1Uq47y7pzFw5B413Vb6jS1
+zDps+ou8AJChu+qNTqeBraswJTnt6RPI00rOPemrgt0qWOdxt2pDMth1chaeydpFYaFHZEkv0Hc
oCdRT2nt1ICBZ/clkh3AlQrhZp4H66FO4rZcsLj1kVMlGnsfghIxnh/HPW8Dt+8Sqc+Z0hTeqNbL
sWqdGtbCJTOCyPvQwNRhvlOKQsALR2OVLrMkrKSdlLB4eYuuCZljeNA/yLJ7D2UmHPrqpakTyLr1
lm3Ck3ShPPAKllbmp4MjBgssZkZis3bSoDISu1G9r65UaKTpIvdD8dOoGx4iF+VEr0JT1OLSMjzf
O80o19yKnKxT5dAfK9jzXAWLwg94uvBUM5RLWaksXPYJS/tjpFRaOBbpk9DhndUnqyosQ8MBWMlX
o0gH7EJ7hDh14b/I+JBEyFDwyLPsa5SmMj2hldTJIg40+zjUmtJlZOQEnwVtoHhm84AEeuVVTZHd
wGJMTyN/IPGyLkCDRa4Tf1gI3A3SEVFftBep6OHVNmCqVK6HcX1aUctKXN+jfu3yrAE4Q67AP8mG
iA6bJIZOeq4ABVKX9mlQnmAUmsd+yGPmkDguqRvmoecOtRdbttFWhbyKvDYyHRqW0WCnRTQYZ8hL
zCUuPN8CdSUvFrgPhvwkCHHrL2JpBq09fs/GMpQZvD4+LZ2uDY3B1l1o/KigmWtv2CHMI3KJhywc
Qls0pkE/9UlL6ktWyD53M1nqC6vOYEnyFY9BQKYUnpYXBjj7PuAkC07LPk26pWqtITzD2tefzIhY
a6vzUs8WGF7eZZ11nC4UG0JQvsZR6ia0jJUjWm8R4rD8nrQteBaRHzU3ymLtX0UV0OOGt763ELGF
iJ0JD8axkjzqllnV4MuhK6h5rbSFP2FtwDdaZijhaNzzbtGQNAqPq46Q9iTjviIfQoPLLxkqx5cz
ikq14okK1FXXm1o4qGwBm6DNQLFcgdE9gxVMfqECwdudgpWsXDjDo8tPtJIeuYqqOo4/EpFJ86Qz
o7a+0J0enc+g766s2GDdIm9T+Ok8H4bG7kiqhxWK+Xjzo+ot2CfQq0jxpWllcBd1acGjCuI8HhwZ
NzB1isSPw+us4jDlqxq8Ah+ugU0lOgs+lNjsq8ymRYAA7rbq6ovUCAplh6guu2UHvX/oom9KMhoN
mEwO3BEYkE7i0U/WWfrFg0MsTkUThsIWgRXDe9H7bN1mFNToqqj/SHWH1JkPbm50lhdZHN0IWC1W
KkP4spR++R2aRrHSDswgJKe58GV95gW537h9xcsWHNyergoCj9VBvOxv4yS2rrpaofy4RH0Tf21Z
6qvj1DPSn/0gRxsSlkngQhwg6CIkfaCWBUvlVwN56TJtC7+0uQlmrq/a4GOYa3Um0ziyXItUxAez
B8ft2E1A5JcqMhp/kZAMpslgeFSemFmOy00KBrk/hYbvMDfa0WIvIsuAJ9o1Q7OARaYtz3BVE+Z4
MtENrLS0QeB6l9GPSjbyk9GDm346SF3hO62yXtkpxrw5CVsCQ3UpDgbHbH3mnxQAS+sYsWTLIW8a
fdH1PLmJGlXagqtjM+0a63hoGYATI6yGVZHEeX6Rsc48NzQy80VQZmlz5vdtETjCUmnwCTwRdYdk
BmYETKdq7DhQrbJl24gSVoG+vEn8EoffcD5Q0dgDeGD950JTQ8JgyqsWATdi/9TwivavwEdG4yRc
sfgklAhfd8rwhlVVlypchEMNL2lIdESvujgZrMuUFUlil0WD2IWJA7NzevBu1KINCkCtFVno29XA
U7AdSiUL3NGucpuEiGo1iBLe/tjsfO72Xo+U4xWKlV9bq8efoqCCdw1WOvkF3vVUXWUyw2BgSSGj
pUgD1tpd/Z2IuhXYjuOGf7ZIVrZua/navDC9RDQfS0/JChZ3eKMXRUgBTQgc+u48pDrOz3lVBPSK
dChhJ16XS7ivrjP8i7gyitZNlQc2A7yxWl8kiQf6VzL2lyoQceC2HUInfWnCvO8Z46FtegG/uPdK
H7mLqwcn/yEAv82Lvgr9QE/+/NenPIX//HOU+fWde5riP39dhLdVrvKf+rffWm3ysaROTb+0NTL8
+qN2I32x9ccOlfICWfJxo+pEv3DxZSblV2ODkWmAffLUQuNO2l+VxTt0ytiA9zn98h+ZX2QK5DIh
gyUtxgVsvZcQjf8iUyBLAgVIJnQMh0aljMOvP5Ip1IItZGN50liNCETH2C/liUwxoXBZYoHgDGI4
fA2yKK8hU+4jiudxHZApwOpJ4P4Ygq63fEIGcFz4CGyCvuSKKztuwsoHS0sSl5emXPFGrJXnt8uy
sAJYtofINCCwF3UvXR6S6HtIIJ4CDzmvyxMTav1SJ6qjFi0Kw6r5VWFWVXuVtcVlQePwk1G1RNoB
HfgyUoO6FkkQ/aCJNVyDyfNXBfIIXviyzb3ezvIkdIk5BEtdKuW7pdVVYzhgpBFdYPC91XeYe1FX
2F0ykG5wac1UqJYk60J8mqbtkN/4Qx8bq7D0IrLQuV+tJAVHPuSZvwJuhrlV3kYrsEDloi09vGpi
hsHkgneLYlZ9GZqgxsex7NmwoKrufbcncugWSU1ZeVFwzxgWmQlx0wkqBnZR9yrI3YLk7CZkrIrs
jBfRgoEFXuEiiPVNTJNKLphZJB86wgKyKjn8DS5n/m1oTYi5itKPo8rugpyflAkcDLF4k4n8v22K
jpssfzdFH8+4n87SB7GnWTp2jxzPPhPgdQs40A7og1+zFKqCObCXiFKCKCZw6WmWAmcOZ8tCfzIT
ZjGwpXDpaZZCAaJlUmizAB3hYecQnI/3ZIy2LC7QvI9/b1OeO/QWHMgF3bNg2YeoAA6en7A/ovNL
WYug/hCFujgViTQvqqw7E1lSOlZdfWFp6paRjo+znCfDJshVaVzXfQ9h2BA6EAEk1zIoMlvH/bX2
zdNcpfmyTFRo46EH6i7GMFGSxrTNIlj6cROcQHyIHL/wTBtWcD9wZFNmy5QXSX3T+8V3GfS5bcDe
OZuDkx45BVHmadMZw6lVZF3gOb3ow9M6iWHWeMaxNqqfvswGYA2Rt+pxDvwFjuVJUvvNlwJyS2ck
ZPGFoBmE5+FNUdOgWIi0R8sCi9BtKgO5vJGZm9OBukkSEpswCSs6lmcxr/Si9LFjaaKXVldcCito
7IbmctkkQ2cbngavP8ja46pVl1gp6eis/F61/nmP20WAepcocoFM/6wddGDrqKjtELwVOxLCaWtV
LzJA2PY9Qy/gx/yfXpuzH2ANG29ZWmVgA20BEWWg8LGs6o9BTG9EhLL6pGCBoa9DnJXHVlk4WRmw
49LqVXbDNJKVHdQeb2zKPXNFcdtEtuVZP2Ovbk/GvtmrOotjd0izqz5Sl2A5TrMkuCwRORPaWOaq
PTVS5uYDeANlZqNocKywuGsz8jHU8vv/GY/79R3Bgvzy+v5wdOjUdlholHpmOzhsFMGQiwAaFCb9
lu2Ag9WQgEMjLMisjadkPtkOCZ2rIcUCSVNpQenaWMj0ZDvE0XiwKhgd8GrBLYDF/xW2g4xuxBb1
aUH/RAw918AOjQdhj92bnpOKXev5EOp55od4KHh/MrA8pX81AdXeBwgjaJpeGEBbHQuPJ45RBze9
6Zt2DK+bm5Ea2dhjoQ2sbryopTZdZaXoGLVx5IqOVk7d5GvwC3yntsL1UKrOTSnQ/pViZ0nqQxTn
RVdRCb6z7+lFkSrTbgT476If0HEomXLjGntAccWN3RppswgqnbgB02d1Vkgb8/Brg9l1SLMVS9LK
yTs3awZY03VrNyhFdhzl14PffslZfqJMZdlhkgM1oQ3fkRBR2GE1rGVUXTNWIjjbiDBbJuSKIJ1c
1OaQLyFoz1ziJTnwZeVP6vnrOqq1kxp8oftN2xHLBc5w0RjUd5M0u+iI+bXI/MJWoi2OTQUsaUXb
wokLHNg0NyBnImTl4KY7o0MYLUg1bGrhLeu8OcOyXWEOpqjIV4qqRQW0HolwA8xYETtVQzdaAonb
eoMtkU0Gep71w/FgAdlX+x5YC66dJg0/iTrJwAYWxynkW7o8+pRIw9U6uy4qdBYYtQNRAsSaVnrd
AKR1akJ+oAurbKUNLJaCFafYSv/KVJA4kOU5R408B+Ync8zEy9ipoKS6xh0qvB9RlfhkoWjuZ9fG
oPtileKst30Uo29g/WRusya+JRZddkHVQjhW30oVLOH0Sd9pBVwO63ZTmlg5keqknTbdse6DSzPz
xMJou35Z6uBna7AKDG3/nSH5SQ/dNW7wD8gPnKJ8+B42kXSYpeiC++ZdSLrTFvn9jyQoY6CvC2Dk
aeaIBthgC5XHkVVdQ1h8zCthnANP/akP4bZgySpt3xcfvE7BWhgMP03LcutAx7YVM7nQrEfHA/+J
o9wEkkd/aTRE+GlhEjcBxin2JV1ZRggEMlDxBbbcCnJhjpEHt35cDk5S98NStFHhRODEEkN9D9v8
OIdp42Qi62xg3OyCq2Gh/aywMUSzXWt6jqiMq94zvlUanbKCYjci0WfLC3zg6wi3FfjAMJtdiE+P
Ex5zh+n8NLNUawfAJtalsOyAxT9VoD8UqblulHfOkiGy4z66hEzOWUFhCWS5PMuA+rQJpY0TAfVQ
BWFgR7ppV2UHYa0OKLaJTNZZLL4PPF+kiXWClP+dxrS4GQwW2EYggPQn1mduBDcdMWwk229lYIYn
RSBPhq4883xRnHm5+sY6bwXJshuDsZOAig+GVNcBYpvCHC7TtDqOc3g3B9YPboGz2oXMwcemyVcx
kC1+Ha6qKJCLuJOZDbOH/VCNOglIVH/0RBMA2Z8s0649Y1rF/+cXP4Sh44mALy9tD7U5u0vb/TmC
T5UAY1UIBs+XQut1Ca0d/7O0QYMayE9BHT4UHMDMHFe9p6UNjhs1IceGxkIBaIMytjJ6WtogroXg
dWx8M7bHYFA/8JqlTUyzkvDDkCi774hlwnE8Ywnp86XN90oEHFReXw5JHtpdWP+o+jYAGkZzGzUJ
kHzJVwt7odPnHqSdRetauFVOlTVXqcpPuPQMW1mQbwDv1lVGeBbU0UXPh9bOSXgD5QN3DWpimOtj
6sVoU8dryUU+lKntIUhGpKr4kHXoazuwH+D/fpOl30P0LM2ll0B2RxrDMjENY1G2QWCTyrC5b1R2
WERfLJH9KPr8cwO0pA0sYeF4jH2pSn2SddlXLY2vXtafBYx/oDS8aOLgXOfhD5WL1A4lvwLW/jaR
vlikcGM2ZBbYipD8tMb5d/CZ+4UJ5D0M28dOmbTHQrafe1JUC1+3S9McNKw6tHXMNkzs2BB3ZdBY
rkjYudLJpzYbYkf41sKKxcc8lHelkleh1fU2KXvfRn6kF17bQhq6+Ybi7NbT+XevJB9Unt2aJpNO
HVf+os5afqx4euUX8jgMlG1G/o+E6GZRJKJwWxYndlvkty2WF7HRazcFwtSGnPDg9mYql2EJJlZi
fg7T/bQ0vfPMT9whLKpln7dLVLWnvpTHPrE+9kPzMzSjDU+rTzT0Vx4dvqX+kLqIg5IAkkSVZbct
lw5BUWmTrmTXrFEXgex+JrCGuZ6BVjnykFNXEdCliHw1feujqXvPFWH8yfTJT+Bbm5M+HMWtul6a
tP6WGvWxyqG+ALrULyFDFrperaMVY8n33IziJSnqSxJYyA5jWIRLrC0bmYbNhniJgBmwoZBmBctf
bvtx0diQX+sXqYbkIrGYW5shtctBLFmo1MpTxVnopeXpAOu9W0WwMljt8JEn1qrNrGVdmqVjDlCt
AUx8ZSPdYVsMKnKTGt44i7cG5LrgJe4VYJiSAmjlargBOgR+NRNL32uWkKm9GQQ9DduY2pwkma1K
z3f9JAIet45vdd59AwJV25wVfyGcV0DPeE7Vdp3dovCYlZXh5EZwjDIjcg0eZw5C+QqW1RWki2pH
IUMe66DtbdqITRqV56KDqpFCRcUCklsnzO8hAqubbOGn3ee8tE49UoU2vI2pzaj+S9WycFCFmW0O
xXCVdoycmVmcuZ1FpX+SEBlQN47br0TEVbOoDBWEX+AxePoD0dxvFywEF4V5Kco+caANc9fUxUAh
zQmpFQeLlP8Pe2e2HDeuZe0nYgcJgiB52SCZkzJTgyXL9g1DsmWAI0iA4PT0/6J8XMdVdaojKuLv
i46om4ryIDmVSWLvvfa3Fu+cXBbsbukLeef3s/hc2C4zNS4hTiXNr50xqJrMYg80czcQBxnG4gPW
l04i4mC+d2vnlIu+8LM5HP2A26he0zlipj/a0M0Z74t5QO/h+likmcVPvKm+V4rN/d4tffKpmly3
uNRtZ3HO1NJLZxZ+dYW1ZVKxRTfrthCN1yyvKJrRoiCheHTfRTCSjyJPoakRmfZuw/IvVVBIenGJ
bhxex7Ptkn8mwR9KL1zff10ufzy+58/l0sNX/ZwEURO3Ygj8CADSDwTuNxXJA0OL347CGA70X7Ve
hDpiOkMAfgBybktWRpH9WS7xXG5EsuI7InL5RyX9G+USzzD74yQIDhu8HJ6i4gJWQ/v4+3I52nh2
OsWm22XyTZjJMS9LwGrxkoqlkFhG5TfDWgns5MpxrD561oPsAom6GI7dWrh8HnF8nc0ST2tWzmRY
s2rqWtVzLORY8HVmU9jwukOjjGZXF5gUZn2YmSfi77HbeMOHxRijd0MR0jzNl3WN07pTE/p/6Wxy
as8EWTuuqwm03Ko8Co7FitnLGiL0msEr0ng8j/wuHWzl7a1bRdFej4IGT7XnSLYLfX2EJN1hDcvo
cOiccTnM/mLL75MfzTtRRqsLwqVshgwJ1+5BVvO2bYrq1wKjTxqLyXP40i1j5tSacQxbIY9lJbnb
OCUfAx28joGRfF0bfz+4iyN50Au6Dxb5nU0O5U0bfS/bmgKJE00WdvizzgFq44xW7+dQTTdSdOYm
8tDSiqIhvB56wWvttK9uGFaceAN2OQ0ZK65dx+U28EA7LIV7iDRFF5xP7YuHwwV1RIlTB2zhji61
5PXsxfuoa9+qcA32fu2LrJMj3Rs1FJlrWsYrEZYZDWx9V7nWJD1Wwk03Et70/ZRFDrg/Eflv0jjq
EOgKl8VY+7wRtM+0EuimmPPaVbk4sLW2iReraC+1/h5OeY79KYaKsClHk04aHVA9kHCvVGNOkE3K
lIDfuOA1N1xgSj9V05gUtnRT2AroVp+W+zjOUctihe2qlQHHTrrKfE0jPtl8zNpV42VG/qe6rSDC
9SVkP01dDghGcMidCx+6secWDOjeq1l/L5be47OYhvuwQJVbF6/3knVZqqNRpN6tAFMyM6qJGzp3
2eyFlpvG9Fk+t9XBq7XcVIvm8M+x+ePY/B8FtJsNy/0Pp+Yv+hlOTYpUeWzCPLCbf9yQ4TF+OFBp
iDZq09f/PWPgPIyicCOO2fsW7LdDc5sxcMKGBCHIYP6gh/2NQ3PLefq9ehb7QJYRDeYCfPRd+gck
z8t9tNFdGFzl6vj6Cb0GZKCkXRovldBaQh6VhhQXE1X+J5ytW0VHbXcdH43nVu31e+Uf3ruA5b0j
aJRGl/ujTwgM1lnG5KfJrzG4wIG3VveqqZ67qXlgnvwyT2RIQt+/LqztU9oGRbaGc4HbQL6qUDJO
3JZs0IcEf+kk82D3cVtWSUOqJcUp/0F6+acubjt5o6AQL2ktGzF/BLtpkqawILlwt3cqlfiuLFF2
GdoLdRZ2WGR5KGiR7yCOTZk7tAWW0GP3Ssr1ixhLlgysyROva3dmLqZENeWhL51DAWkOZAaOM1+X
+xpgQ7rS5qkQzldy6drlomiVAmvA21Nj0Mjr/NHro/tGuVm8jPtyvfcG9jSN5plFIqOt7uP/nX32
/7U1GGZtTMd/3b/8d90V7duf78Ttq37pX5CK5KPh2J7Tgm3Xv8f97dEdIdwAQfAD78dt8vNWhFwN
gQCPdfGD92U1VIef/Uv0Xz5huEkRkBhvm+6/Ne4je+uP92JECBBvH8woXidOi9/3L0KHU1n6UX3r
eP1nUUADXm396i3BsfaalpdsTYy2WRg0mP7D3eqLc7z01ylqwDxNTX9sCozuVjiJDi3ZicDducr/
MBUjyaJQ2WQUy9kd8pQ5CiAcpMAiIl1Se/VZBn2djA7EuMq8NGwW3Hr0W04Kk3ROIxIRzDdzNH6D
nN0nUYWVElSVjC1jgPLdrplrnRrCYTBD0YO+HNrYJnRxcRupdtm1arkjC1RJIuobi7GGAxb55AP8
TcHwfFMuO4EJ79J+hoQoRlOhMvs8kOCk2zC+W2PvecxXARm1qAAGOxOvwwG/ZGWRrALtUNOInIf5
0RfDbgmhGfSgaDiZ5o+rFJchbG+6vIP64VGuFkyRDSEPU1Glo0AbU7XkknvkMV/qARs1i6ks9kH9
mxFgMQQETql/aPylSPKoe44CTIPMXYQVSTD2hfgwkLL7AnTt47LS6WaIzG3nD2ZfYwjiZa+/zAJ8
Ulvtm27CiGcDxemE7aL1c8JlHl2kIB/93vjcFtOtg2fCZVVl15QEq8jWGGiY0LGzd5R98B35Lahz
tQcml3iA324UexnmFxCCO9qxF4xeam+1u6+tEZnGIas+xp5sP9QuJPi3Qqzfplk+rL6LRZ/tVMgr
LaPoRXvlNcf1fcQ56B7mgahbovP4lja5OS1xntAYO8IpZIdBLyV3pVskksbL1S9XUDmFaqY9AOPn
qZ3ATTTy4s/qDdARObhKxD3XDLI0/6fh+LGxw4D0P5xzzcs3pf/DOYev+nnO/TjMEJSP57mTKNhG
uF/mNBx+lGFN9odlf4RZDCUbkYDvS7lf/U0I8/bQrMKbgQgKPPwm/DsdB87ZPx5zcHfEaPe90INn
KtgeaPmrqqm6YK2CJTe3bu0/Vsp8ICa4aai5r2YIR9NI5Um4gOQ9eiiXpUybqsp3+cimZJhtzt2+
63m4TDYFNvvg0nVNZBd6fKID42b17ge3hzkmxvdqQ4Wxr+y8YyzQZHey/qDDtuRrqyLuqfni9K7C
UIPlxrSOTuLMQZ6GAyaJesQqQA9Tf3Xb5hFPcgwu4bi255KQgStGsHHJcYuROtxTg0V9hH47YVIK
vur2UbYRtvhO03FXmyPgol0eDSIzFdjakDZvcGB8BL0OAYMEB+U7H5y1wuTXm8u6gaprIF7hTit5
H9glAcaTtfpYemdP+N9G+aL9ZIjFQSloWNNo4UZZbYl3pKrTtp6rlKymy7qlfAEkBH5o0N/sMJ28
oZuwd8MPpMf8aHR0tzhhx5c2c9azHbzTTKMvQcmO6KMoj5fATeMwOGuh74oGShgdI/jQZu8W8FCN
HZnNAHHhI/HBVQ1CmGO4DS1g0h+ImOh97MivM2nvTRsBSa197OI86e1Irwg34ejtfIZS1uVqyOpK
l2leTR5mwuiMYeu42AKjk5ZpGbUPc2Vw5KzWy3ofJprIAPtgMdwNIL76TPTD+EEMrp/kXvwsHFVy
VXT73i1Ppgofaby+eI5o981S8QHHXjnKOFVEVrwD1c472h0mdyTYP/Un38PPsuoeIFUDZSr3Wveu
o0P7Icp7/MPaoByo25Xqr4Wa1JGMzh0u8JdYFYrrUrQnWXmfdD9eNKj81IkobGaT/zZP9m0Ml2Vn
BvBcvYnyA0D51wa3KFd4KUkFNmRXTPYDpHpz00TuaSzLz90a36y9B+pByb2anHO/LNjLupG7G0Tu
cVXlE9fGXIdyxe0zPkqRv/YyjA6tD2tC6TQf8tWXwJ7tc++Hx6ofxCEK1AnsRY0yyJpdZFqok8GT
lq48jcM2RpfrB3zP6dyPwQhSWSlIHUwn71T6qGEv8OLtw4PqkLgsZ6mX02ejSp2Mq8Wcadr2ZIid
k9kJQy6Xoue1qYdkncGBCRcDdiulvitZEPPJ79O5XbxdZJuPEcF2TwwSIHDpcUOw7wDB22Z5XVpA
yVWBu30gR1MojBElk6km9uiukXvsI3kMvbzeM7wW3jMfm8XtLo0As5pywKKgbw90wPrUYWmp1gGm
kQFET+14uNPokABan/lCZQiBxKQD9WA7wP84NLgrRcyVGZ+8ubwJtD0pf7nGVH8Yw9Hy1TR7CDsV
bxustNvKu46zfSpU0PJ6kXcNtfcVVvdRNV9Ms34yORaUFUyTvFHlRxiLTnR2D5CMHoeIuby3rctd
paDb1vO5wrweulrtmiUy2K3Ml1z791W71Nk8eVlIuhOxtuWLsVj35l8K4d3CvXWF2eyuL0P0aKN5
zfNg5rZaP9US3QXtoygDWf/FNCGI2yUHCUS6RyXpzSabZSPUVA534VJ99G0ZYDpirb8HcUEyqeCL
CQqV/lPC30v4pkz+dQnfngz05wK+fc1vBXzL/4lB7IGbgRtx2zD+UsDB0kJGxVC8yQCYEX4OKnhE
uI/nS26PE91w21+hWswwAPa3RyYRpPpvDM/f0AwQUvSnCh76Idab2IIC/IWu8fsKXg/Y6s9qdm/h
7PqUx22wZ5Xv3BDHdhwL1+4+wPl4sC2Nr3OVm51ShZcMIOj0dnNMLbzKBfyBZ63R4dMIcIyZ2H7E
CVhHc3fRq5MAdIfKGH31xgpSWjMdfGZhxGHTMc6jXRF2btphHWZNXvM2XpoknOjT1OoDLWT72Ath
Qfd1X9kU3SjbPWmPdglt/IIz0X+tl7hKlaEt76fpMHfznIhVyfYeQXx7r6T0zvHZTc4m0BOTmyfN
5OSp48FgV9c9sIbhBbrt17yJph1ZWkiuS9cfYUNpeK+ch6GO6rvNocAbJmHg8rGgy5cwTPOC0USg
1nN4Be7kTDX2Q/43U7B7zF/XaIDOCJb2U0H8R3iru9QpyVtXwVeM4edJY4FU9OZoYRjjsFUd8j7+
hh0uBkMpAfLO9zDuXQwjn5tW3JRr/OiVXciDFSeOJu5jF5YEZxY9DbIbkjrPW3BEwctizZwAjv4U
Tbbipis8tB0snah7F9UUKlBe3Bc487nTTNF0WhZXJ0vbfXc3hIW11whmo3FR4uiX5sEyUH9z4KKH
0Y1JQoYJiKHPAVeZhms1895xbI8PjISaw3ZlqkOkdJMVrYluY9It+7qNCB9ZeQRUGF+E0W+khwMk
XkNx79jK5WsRfI0hIF/7hXyvVbAwjBfKTWVJ4msttUjaVlcchi2RDkFTwUbXdieBwi0bjT1bHd1O
jhoSxgAhiUV9byrqc+NhvazJtYPJJrH+qvlQUM09q4BrBM4ehnuajJ79wjr5scJ8lmgbJz2RbYrV
FN43gTe3bksF+8X6McRuwMvVK6bSvQVYd6Ktc+9F3Xcql8zKeQ87UJS06KQSd9D+kdU9WMrmNA9B
RoV/u3jVLZawM0SkmKEolM/ulD8FjWMOQxWrRDrhEzjNAC+bnPOOGO5EqL5930DYdt2HZhlO7lTs
+6p8KAqRMVt/nlz9GsRaJV7lmXQx4zXSlU01mzRXbnsJMNXzAPw7hHG6Z5vfx6IWpK0Iz27vfUWB
9uGHX547n1g+et2uM1gyqmHt4W0cj1W+usnYutephrkF73XG/C5PWoYWQJHuE9DXS6zgpY7UrpS+
4RHJvw7utAs1RAunnmB+CpVKqtLezAusUEtcVxAig2/DFFymHjW6gfW2zzVJiq5BGgIh+1KaL1HZ
3zRN++RV60fPMfd4fTVfKYylU3zRc1uneMGpWMcpjT0wuD2aWbu6Dyb2vyxD3N0KupFiszOfAMs7
RwyzGhRecR6r/gO1zpvsqoeItUECEqmBGuDn5piH+C6rlsGhCWmm896mpe/Ux6Yh96VLWh7BaI61
uFm5oxDd0ChcxEtUjwkR4W2pTI2Xp+o0l3UFLX++LxFPw/PA/QqjffnPSvMHAURRGP+6zv47LO/P
1Xb7yt+qrYtcbCRGwKjys27+Um3pVmRpBPUPC8dfqm0EwRCPTsEaLSRkU+//LQviUWaboh9TuEfx
yFHG/la13QL5fy/RI1cEaYAQH1G7sdncZMNfQhicyPErPdfq1i5wN19K0gXlFdjQZvsYmvouBE0C
pLMOrkHX31kZfaVCTpkmzePo1Wg3vebcE/25XtSpNu1D0RTp4BDF/TK/REFw6WbkFrThtBf+CALD
VGfpTs9r2b7FhZm5Ggm8yhVT94FYd15DSy7XmttcYtaklvv1UF4G6/AZD2VMtT+23ivBPnGG27ze
TWKMvCPSEHVxIhUbxB4wPoWRfowB3jadD7M5EBUfpMnYHcMibOAciU+sjlb66OcD9KW8mUqbxrGQ
9KzLwnwup7xN7eg3ZDfaEWD4YMubEGvAMqljQISg2OG6j02ky0PVYnDPei3cPmsQ84V15DS/WgYf
+FS3z2EX2ATwxj4aY73vCvaCmRQiwNTjnozqaedbdSlyt0+IGSjKc5H1a+5yGfuZyscn4uYfHb0e
h9B5GMMmacfpSJc2HZ3hPE/BbTwyMFMdgzeSPCymeOkcdVPb0MHJaS82bDFsON0hkpjFdew9jNY5
Iugha3M0BKL7TmBQb5zp4BXDCWbNA5iwM5wG14bMV6v0q7uYB+xsDqRkT1U8pjIID7knbpkcDe/r
7kPdrTxsC2yi3f0UmAc9RKk/T8eS0ecmRHWJMcFG5lTDP5tEjU+yMv7eeiqjNbv6k80m7EJptyae
Mpe8MHcxQme0WdPQRmnneFkbyuuqmluEXfA4WBEQQg9mJs/rpC4jKTlttiaBJl057ZACcy1zdTU+
ZlsfcM8wnMqg3HfM/UICGA6L4QLx9FWoqMy2j16E8SPVSGNpvH3E5rM3moHb2L1aACFLX141I/f9
Ah1idZ4C6R+BPOETtrAqVc3RePDVQkCN8/4tpgblqX4OS/mkXPkwSGeXd8EZz83ZEdtc3XKsOVu8
80Tn1xEvIoERMq1a75yP6wnetwTJFWcRejunmG8gox5hMoGXdNFvOiQPYzw/6KWKeS7G4D4M9L5g
k7yCS78sAWlude2WxwYJFthyE+V7II/wfgVzf+uy4Dx5uKQsdtb1aJykZ1OXdib+toj56s5Nisb1
HBbifu5h65o7GEbqOkz9vv8ylAsuP58hIyLfz/247Bw//7Lq+jLFs4SB0z4CuM58x8fsSQeTEQV7
uVdBZ/cbGiaO1DN6bafNiPQuOaUPVBegf2mDMXnGJw5A+a7snL2hyKEYS3VAgwqhzITlrp+9y1Da
PdbmW7QJojHgJMHVgU9rm79ja+56WLGTlpobkG86kYsBNV/c0rw6+72z9/wpa1h/7QgBgt83XzvU
1x1ZnZRMZkpBguHNGth9UEdHBSssHG2lj0EbI3e+zhjcS5sol4B8k0HJy6I7N0VteTU42A+qTwMY
Tb6QZkycZr2iD7vMVfGN+T3yPyJyyLs2AFMpIROW4wNrycchZicH9FPk2HoHnzK6xWK64HGlCx8p
ToDGqbskRuBOSvrc8qno+l1pl7PqvQkkV3GLxICnkVmWSDk/ChbgekemR+uAa4+q2xyhEInsm4pj
d/gUj9izxgUGBBo403lVfn0jA1b9U/t/1P4tp+2va//7A1r/XPbfw91+wr8bzRQh2A+F393o398N
2ZijkVSDPKB/bd//NWSDZsIzpimUzy047N1I969l4DvnhLKPcJbYfVfX/07Vx+rwD0UfnjvY62I8
wgFKPZ728Pui36segQgSWVM9tJjo0L8zQ0F460Ef1ViSvQNF2GxvdJHtwHyk5h07WhCBoHfRO440
vaNJU2QOAHD8/AVHYulm09TWmNV9irW8J8sFntTVccQdrVqsbnhPZTdiuURmiw43WBHrUSNtYUNg
2tBHhAyc2EOCpI44WrhebLjyEokf8hDCSQa1D3Z+7s8owIceeyukiDSm5ayfao1Ge7MqWH+ZwkxE
roLcGLHUXdE7vAVFPPzIzPr/7ez+P7gJx8Xw15c+wlOG/7QIxxf91vFCXwJ3h8wzXFroXqHf/Nbx
EvwR9jJ4IlgIk9YmPf289GHnBiWP8KYfWyCGPvXnIhxPc0WcEzycQQBhaGNc/o6+tCGBv+94t9Qx
GMrx6oDaA0z5/cU/drNBio30b81MXWjH43FaaJ96pe9j2O93ahtBNWbR8H0oFfSr9qPzsI2rwTa4
ljMch4OWN8OkXN5iunVKVwMb7mw6Y/KdNZxZdBuGlbKvS9x+lpiSkZ7yUNFy32J6Bur40HdYIZX9
AtJ9G7E1Zu22QQ6MwPRttjG8jpsBERL504oJPUA+DuT8dU7Y3NwGmOK9iWVxr04hpvsqWP3jOuZw
lFUkSkZoAMjSy8imCXTywU4iOLVQCxBg8BpBPYihIswwsfKKgKLzkUXDGRqpdBupIb3ZJIQOMUGP
qDZhAgjfgWxSRWegqzQSPeMAOR9zsn+tQFbXm8QxgWfrRwl0bJM/VuggxSaITKK/LYOxO83NgNyH
AkulsFEVoi0gpcSuyK/mXV6J7QrOl67fo018GWn4dS3w5nZ5I+8JUiW4hFYjYfu8lKo+BrEDjXkT
dOQm7ZhiBi6IEwIhKpJyLQaRVPC7IGmmlRyKP9sXI6ADphHKQWdoPa7wvf3aAYbrBTj+pvUFR4YU
PFcN4D93qcuD78915oAWhgywpcOtyDpjM7JIoKIfmjz3Um8Go11TU+wo/F47Cgop08DQ94Pym6z1
yzNUppt1KG/R5x2HRaxp0UTf8xUzSRk2NHNM4aeLXcrMy8NlX1lRZ24pI7wR3oIpo4/3Q8lAIsC9
v48JEkEaoRH3hiydB+zLo73dggXwINXy4Lp5no4bdWh837mvEZ0AFQ8/aT8zxgtAsrtIoFMolyni
0NO6zEFCD7weVXEKsJHZCyIfF2LurHXbTDo4fdXQvaoa7HYhGVKhwDyeuhhKvwBRyZd1e4sK0n6Z
TFA+tYgj4kbG7WGxiHAks1AcfjjvNoiwtJTdCi8h3ne0JgD/owmtt5wodqyhLb5VGyfqlmGejaJx
Du5Q7mxQZ1AQscRBMAlv4lZzWEcbjp2X5U45RanumjphIKnuVw+j1Gwf2MY9GjgCUVFIfUWg2XBA
5s33oV1fBxCju6HzLJjuWl8K5Jck/szSWvfsyJYJ9i8nHPdR3tIHyMwfi1gNTuoOFp4sSWbPgxev
+zrhVYWrg/ZQljUsjLLfO8Xy6DmTBwufYAmGzlMLlySK4OLBFWPh0DYL/GtYIiNMCjpk65wcCu+m
7z+N2B4l8IY/Nn15Csv2bgpN4jjhxQRf8pDcWMXGT9i6vk0Msx6MMLwFSJFCR53OFuFVhzgeSjg0
wayIyj0T/GsSnNo40u89sp4Sb60v7uR6fIzDj2uEqL6iXCNwJ8036LFAeprmqMrlHg6lM+ynyJaT
o5+2TQRPWeEhz2iUQTovauZjgWWbxl9vDXie0GCyWhZ8hF7f3FpHfKjn/Iur7OeO4niI3G5Mw0rf
FJP3MleMYS+91XWjxA5INPzpMGdU0KZHkH88XD0wz2YEATg9W4atcOjQu3gOI66asD1CP8DfHFwI
jxXUrW5QN4BfD4iFaZOR5rvSVf0tavsC8L90uTPH6TDrN5Mz2BNHuEokYZ9hCW+CTLXzpSXDV0XD
Y2uDT0iDCY4Y/NBfrK/IsEOjo+YDfuh6Jwn8R423pjULr+hh9jJWDtZkkCliR/FReQenB+Q39fAd
Fuj3i+kemaznmhgsiov6dYjiQ9j6V090e4f2e4GENnymyVx7+HXwIqOiSExhv6OrukPk45CNajkO
m9fUbj5iWt0jVctBLcBOwIeVaajvG9hUvUI+1rCtStYe4MWASgFDa12gYSJo1NrchLyB6TVHamBR
wzABecXAFAuI4i238J6ijjnL3kTERFi7V3UiWPvgFlpn7y3BP73RBvX9dW+EeOCX8U2/mD+PBtsX
/tYfgQZEaAxgF4Su4j/oT37rj/BI5DgAIxN7DKzM7xXBYHvCrstixHj9WM397I/C/wJvCHwG2OEW
K+z+TUVwU/x+l2oTwTu/OTFA7UKBDLf+6RdFsBURCskYqVvXrcUB3vO9FODU4NS+seG4JJMl5jxb
ova+u2KHO9u7tqQokW3zqilR8AKaA3bUQRb7eknExHxeUtknKM5o552JpHKIsLbp2ZrCydzc9SJ+
lgFm+FH7fjK76w1y4M46oNjfxCi5jtz3S/ecR0Ilax9dVr0AMVPVeIAh6SRgioL8EJzWqAAmT8ML
I/RJBJ3FmiW6j6cQewZdgNzRLySgsDwH4uPYBB1mbImFDlxHSTWuF9aGz3OOvDrP9z/FtXpm83gT
V9BswvrRCZrLANc6jFvyqdUQVBwPEZP5dBOu9KFty50nnM+kwK6vFztAQiFoyu7cheoTiSB1SSxP
ZDDvxxk7SlwUL9jjGd7OsB844ZAVbJUcQSNYJ+iZIYOxX7Ioam02juOClFFIPLDTI/LSPygJPQPU
B1YhwATEOnn7oBp2JesBs4xlElRemzhkvfNz9pUM3WNllx3ytRrui/Zupmy3yAZGD2gweWjumA2f
JAxrWUeXT7DMAbibgi5FF18ldVuonV8sJm1hShj0eo+NR7jzZH2avfpNrptENZAnJiGiQYLME5im
b8sxJNc6Dw9zJD70VyqPDAQRok1v2FKWCR43hg3rCE6xRxTZsEKK84cR0WTRJ8nQ7di+xbJLFXtQ
qS2vGvW1CplKywFsIOm9XR0haMxFQz0sh2JB7EfTlK9a+2/Q09/QkYuD6Ol1C2mbR9hDFndssnKp
6Uc/wLIXIb8oOzC1qrY/QbE91oGH5EO505EAfoJQzGyZZ4JFClv20TvF2AZ2yKbRuS+66Vu8VpNO
AhepLS5YnrWnBiEu/Yk6PUl68D4x2xgSkkP4icIopTQ6kA0RUnp+QVzjY+GqdDQNoHAkxODSxXUU
Pyt/9CHeADZC6wePWizmrAotEmgQSYZSDjxpqDEv+EH9EENFZyT3OUKFj23MoCAaLIM3zKne/KVh
WNssApa28zcciuFO3zkbIuUi9+1mIe19DnrK3zCqATwVrDHwJiGE89ghAoLLYUKu3QoqhoLjEe56
qxTulHKDtBArc5eD2pKNi/34BnIxEF11y74MILyMui8ohc4M+CuKmvw4M3Wdwb/zEYBYTNQ3amoQ
SkDHsOnqsrAyVerMTpV2G2E2BRtX12OvCq/AHgAQUHmyIWn6XJbwnkxZofoF5hJcBmOTv8AANXKy
9Jd8o9taYG5zRw+tJ+FBAgDniOqtsrhlSKtwbQOSMzEQ5o2ai2E12zTOR4T5fo83tE7MuO78jbZT
Lbh5ZBhzpwPKM4q+PTtkDi4eOD2naPrrPCIcM9ogvjBe83TewD6b5yoRGrCfnMbLqKsIEBpAwDou
PkiNqzmgwjvqupQZzfGJIzITwdPLeq/yjiFDCDECphnXpANx6PfaosPHjSXXPof1CWDi/2PvPJbr
RtJu+yr/C6ACJuGmAI4nD72dIEiJhPcugae/C1RXtdTV1TdqXoOOqJZEd3iQ+Zm91wZkE27HuU+D
qunFPl69ZMgYMwizzDuam0IYJywJd9hw78NVSKPp4zFcpTXGsmB36Kq2Ta9qqbXP2dcCw/paZnSs
NYYfC46vZUey7j2adQPifC1D/qkJvuQ44n9aeH4kJP65IFg/6ueCAFiNBqnJhPexDiz+KAiYpaCm
RY6zivYZj/wxMDGwN8Kh585nrWQQ1ckn/L0gcH/jkxDqZgMZ0NH6/z0Gzvqt/VoQCJvygs+FSlfX
GUH+WhAg8ytiJHPqFajUdV/GkW1pr1X0XXWZ4YVAFa3yInG4jZLJ1S+mmj9vdfvK0sqroam3mFFu
82F47brFx/Ynd10WP5etuWtq+9YoncvaxffS2S+IgmrceP1msbNTb6KXjDqTpzwaHmpZ3kOFYsDn
qjjCsYTzlNQvYZoEzFhPJk10oTVvC0pwLV2edc5jv5D9MTbLjStT28+WZN8NiAHScnnWIns/xVni
i6y/lnb8krLiX5zqwk2bZ2HphZeZ+qcylU88jo+ZxvOKtH6LUn672Mt14mZQZYBhg7Ec/AmyFqsl
yzNCJ+NumQ5w/WEDzGjrS7GzG2XbdiNtd+E8gneXXt3P9mHBhIkxWZxSNQc7Pyl7a0KXqiVtuB+o
0kGoH3T6sKm2bqd6uJ37on3Izfktr+HdWI1zjGL1SS3ME7POwq9VeYkZHrN+ZCsbMy33/aikvhyG
kxDdwUJr6TWheZy176goX6NweJgdc0KZiEFzcabXTO1WHLRxmdviw7CZ0rqm9mAtIQZVVbDloN2C
+86FOo0WSJx5n3bckM60qVEzDB2vWRTlIpjmKKUZyeCktGfGxVq8Ce202vUmHIQTIIYZ+USt9ofK
waPUr/5ZeLdYaZtKbe2Nnghci11n9O5bPjZsEntT78E7s6nypMGkbt2+QOzMRRxEcdP4tXAvi6Fp
NrhRvpVxy9kdQp8xBEImuA7816QG09J9s8JBAN5tPh2TmcgcpsFcYg63NRhukZnd2ks9n5CmnZWY
IRrqRT6Hanl4859zKV5KR07+KEf4ahlEN4VFGdfV97TuPvVZfiyYFzyQQY8RHgsPy8+lOsIMyDr9
1JZKskmn3tgIc7yWOjQkw832Im5fICgBGFdEvjFD5wUNKsphYQE4sKfv9GmTV7JP5p3TuwHRfTCM
WUBe5pFyjl7yEfVMdCxl+l3ILoBbf9BLdmXZcrLKcpdW9c1ocOVg032oBVBZq4p2eYyThdkkN7v1
FDJE2Zn8iaNNT9HS3CRh7s9C6S6m7gXgf4ewjH0yWtslCfhUuPcppeHaQGJAe6UocefnrQSFsO4J
0ri5HVapVhbHpwXt1oKGC8vNJ1KG1s/F2KrbZs7ab//cK1/3yprC8de95mVVVn++VdaP+f1W0X60
hQzNdWKJ2Lj8+1bBNGohOFEF7o2vPvPftwpGDSShqE4oTCHUCFiKv98qUBlxkZJ8ghB0bU//Xpvp
0gH/eqtAU0OEqumIWVCO2uvf/9RmdouazIM5WOfIKJeLhjIVtnXFVE1QFUYjaQhLOOijp8D7zAOn
D+3qclYLtsBDks4UqqaaXzpDotLIIHuy7AhWxqyITagMInXhtZQopYyFsR2kDVbJ0dM0FEodLGok
FE54W3FrsGct23J3NC15M6RIl+1YYVTFip26DpoMo6DEZ/i470uGUt3q2kIxOHrssb/McN02HNT7
FJNXW1r5Bicn3nz1tlx9YGQj4AjDGlZXxalswgsNy9iMCNJDixZ6dV0wwT1AeoNCs/rMktVxlq3e
s1wCz0hWP9qwOtNGuaCmcK81lTs2x7ymDLjYuBKxgKzOtqlwji1WN331vCXD+NyvLjgNO1yRqGZQ
YJCDMEMXaI2Wb63uuXBset+wFxlkvZXTFeGym3HoM7/TNyrGkCBdvXgTpjxFyFOuwEQbCIHwi1D7
LmVd+YPZMX5r9snq7Ssw+aWr249Z0uNgIphNm+miG1Ayjqs/kP3zHYPPbWPjHAwzNK/kBHhhG9YH
EcNUl6I6p3p1i53eD22ILZgRY5mW8O4aT8OIMWNVFDD4YXCNQW+o3ggcM4+F4o91dKSqxo/mWIzA
EA3qvUy9Nq+yrTPbCpKFHnD6om2zvE0v1HnZaVH0NNCy+1nlJrQaRsKhFlEHwE0Rbu9rTX9clT9e
o7ZPUTXzTszM0zxrdz19mSXzkZE8dNsyvY3K8QI+SgD2feBQXJJNSEgBZ7gS7tssjFmnuNeqWdkb
pzE+qlzr9lqNe9gsq7Oplf0uNohiMLIH27Qe1zkG6UxXUN6Zs7oZRUfOjtPJ022aF49M/Ln2Vl6m
8aLWiFDs1ETWnN/JzDyUUYNxJYwLL4b1Dq8mHXmj6/GprlsyElyIgfE0PZXspRla9gw6pkdNdPei
y7i422VXxnTunYnsARGi2b9LO4RkU9INDnaGeTLTgoohQmD0w12YojKuUm3YVHN0iDoR7Zue099a
XojreG1MUHEyoVFz06TBFCM0X6jDw5hwnWqZwG1hxUdFqY5kEr2ViwN4J6J91ivtDkX4NmnFfd2p
O8WorkHkwAhPjDtBGlPgxCpjDMn1B6UFmbbig0beyiR/SoRd7kptfgNfJAnFiPbD2IoVwOb6pQLu
xijyagvn7yUtm5HXhxItl4tzcpkIIN1Ud/S67cXqlSkmmzepnosN0CzLs5Rpm3fzlaaJjzaPR69q
EZXYNqydMD62BVsfS5MfWeLepoJVxipM9bScu79b5s9ppEljnlYGYaQLhh+249ddr+1ye6pwcA93
Vpjx1lFXCY3GdLmqE7pcoqTIy0F4Hck3K+7LTc+dvpGWezmYzSUSt4+MXJugktAy2mzmDUXoy6Ko
n+0kTlGV7OeleiETQd9Y5E7YRjb59H8nRhbj1pHKCDHIuhXwGA8RsA0PNR50PT291LLiOC/xjmbz
hJn4Jm3DU5Gnh7hv7sKYbYp0GQZN7QXorCtLqe9rZAQeIUANvs3IOrmci5yNLAvZRTGiG6ZdmlVP
JTgtNPTo4nOwkmY4tRsw+r2fjNOj2/UDs3d4HWNZ88mT7EUaPWR6YI8Z66iVXlH5LvkK22yOn/Tp
Y2rJvyFDJNmUs4DzVbzImVdUc1H4T72+CcfqsU1hVhmd8gjS5SOOejZYmY2+21gRfRUab4GOSf0c
Nd4MdWnd1y2/sEloRmDm2Gu1qGy2DWyjMSUXxsAQtUZkeXk+EmOS3fKjBtMQXy2FEFsT74sfjawk
l9y+sLncyWZSD0NFfzGEjjyIybzT6/AZ7hEI/jz5KBAgeaGgstOmpdx32fhglNXiWzahNKRtjW7n
/VMlfVVJKliLv66SmOL1Lcn1Vde//blaWj/292oJhrVJpq5BaaOtnpife3D9N+Qy5u/+1J97cOc3
+H60xKau26r5C4fWppBiPUW1xDj/b3No1VWR88tQHsUExtZVucAU4Gtp8HO15Bb24pa45q7yMSFg
yW9pl46Aa8SxRB+Q+qlVPMxpRP0ilQunXE95s6B7TK0gLnm2tD69l1F/yhx5N6ryYg5xgNax5VK8
O1xwyXJ0k/5xKuazXRgHM6GHwQvuNavhXEoomwjPJBSAZGGiV7AWhoyLHtF25Y6h/afhRL0/faGU
k2z2CWrQN22mNPSWYjukqQMgla0ahNOXmWvK63Ixb1jcgZpr63thYTAQg6LTvkS+geLIn6feExFP
Z1uGT7mrBb1uYVft6HSS6d3CTZKGTQGS0P6GJS3xRyt5tshBoXWyDgYGiKHhMCbt59mCI+TYaEzD
ydjGoEM9oyv2QOnMYKwc1KTgv2faE0Jy5Dvn2nvRyyu1ihsIp/1LorqJX4hsl2XywDa73GoSCX87
clYjof0eUWUHUiuf6wqZIOBQY2XZfVihvpy7bH5LajM8sWAlbgylpsfJsVFKR7vVEVMEgrAqPzGx
7lWddHfTlJ00sxkZwLEJ4VBs+y2haf4i7ITRoV2hGzRUPye7auPEzAEjd8Hqr5cdlbFDLVeMqLNw
qAZhrsxARmwGMQxb0DEQqDWrSbgp1S45MYPOd4AN+zvdHJdH3MlxUKmE0GRdrl7i3eQumbLspWrx
EbL9tZ6ZWBe3Xas117GlJwdHayUlO3yScc6rIyExLYt5IdILGEv1mpEkL4Z2yTkSCzV8l06iOAFZ
Zc2h1NUbyi5tE8dT/aDOvPC7kHyFV4XO9lM4zK4LF1z41M/DBkKVPxfYoYHd4QpZ8eJdS/oQvPEe
EKqEP97AIe/gkasrmFxphnO7osrDFVpu04AzHwVkbq9IcwHbXKyQ86ZQydFbseeaeyJcK/KyFYle
rnB0a8WkL2ItdlZ0ur1C1KsvnjpISxuXCQtsUOvVCl1HrzE+ukR0HSziVqFwAWdXHDDtHbx2uYLb
izoFZAfK/Z/D/OswNzl1//owv/8RQP3nc3z9sD/O8fWwpjkVMNqYl66ggT9mqcZvlm78y2rB0f+7
8gy43IodYKMFyRdhIY3y7y0vIs4VxfoTZ/xvKM8Ah//nIU7D7VI06gSpOXwrfKWfD3Fy5qTVNF1x
XWq1EJedPjA8xY7OFI8aaiLfQ8qRSWFu19+asXhdKkoxqZR3tBMAsu33eZzIShuifYsOrYFZg4mR
BLJB2Ge1p19Ds4z5uqbthHg4BmY0x7A0Ld6cdXRWcBP74xijAgqrq27uvytWVnumO30X+Abw4Xb+
4CIUqZzkJAUmDMNNLxVcH61amUEFJ/FMkBr9V8jf2XP7HakX7r+hfR+Tfgtgc96puvOuSG0bT73G
VRTtbbs/A0VlQZsxaDKb6WVylIe8n3M/zbQ7w+yfI6biOIEVzJGGYV1FOMg3cHRQ4ptZu9Hm6I0B
FNBvcxw98OA3SaJfVaLJ2ZDodyrdIUkAyY3U1WOhmh+iL3ZGO711IjkJHYhrq0B2cpjCuT3/2t0X
avs8GMmhkoMVlFn0XHXWs5u+G1MVQLD61rnut1bvrtoleTIr+S0TThHorLoD5obXCt+s15rTvogT
BaylUhJANUTbOUvukHOdh1o5L0YT+qnKmTLrKLLMxikALCBfNTVOMKap14o55ScI65HHbttm/6Sd
0tiKdqkyWNsmyi/jZlA3TicfrE456lODn9Huj05FU6q6xVU9C9fHxuYc2rrUqdZXh0laBW0yxKyR
cmeX2XEbpCpQeGsM5cYcwAFoOX9rz/q+xTgeOvY2T4ZrSx247EqWforb7FrW4xLsB5qi7KCbEfax
fopAyix0l2rLAs1s/VZXwh0PWuhPgNlVWz3H/Cr4l+17qrS3XKzXxBQeotRGrqinO5FWDwWLK1eT
LHQX66Gn0VWL6LGruChVXWE4j2GIWRCA+8bFWDAsz2Xa1EGEE515wJMyDB2tw/SguD26+QKh3JIr
zcYYs7tZ0ecNJCUaGA2/ZacUflLVl2J2rzIBdLef2QI6FaopOU4bCT31yp6ADilp6+DYT3Q/zNz9
1FOBZCzf3/qQU1vt6pBVfEetkKVPQxbYefJg9FrOOzCxNzxrbHZHLC293e/Kri+hyrb1XmrswI1K
Pa1xgdgyl4CEOiBeinLDpjrezGWDtUUvzsk6m2IVYvlowVpfRsuaXvWWyQY/sqHeCeOozJ+Zyr5C
idrbyu42xixTqGlMEkT1qFr2p4rwD3GZ+GwX9cXt3AvYaed6nu90uG6e2SkxCCWGtnPR3MZD95YL
KILJfHCq5SgGNyf/VFJCkFeMrVT4rTN/6l37iujoNFX9TV4rlz3tz5ak6QB37aXhjtJnBIW0qpyI
8Vv9soMbU6H1/We9DnRygGsBs6u3BDAR2luIHRV6Ob3Cki0nxzr2iB1hRiuOn6fimXq3wRQD+WLM
rW89oE8PbFUScCCfuEMRsXbwguNlPPYhCHa9jW6tWL6liRkxYcnElnSjnOhIjA+daPYWeR5NnKC1
i+VdbzZk4aXlJpfxxPQiwfRUmi0PXcUj4ViXeUvAQCXDc5VDwRdDKH0bMVtI1ENVu3duKPaGnB3f
KgEXDHN+G9b1mXzXZhv1Tv7cTsw4wmm8UJil+shQeLDN9MkGuYvVbCIo052wY+vxuyyRogMl3o5T
eeRAv51FNe7BzYKn0oebWsCRTKBXjQDCdrCPVrGcAaDEqu5DB+pHiK07a/KLLh5vKBVLT08ZnSV4
XO2qxSAV5XzsON6ZVursl3J4B5ixiopbdJgl/A8rbQDtLsonjDHui7hNKP2UG3Ih3y2DZ7vJGUlg
jVH8XLLeYYRWnlXUnl5bNc8ai3yfoGQ0sjO6FENHI0tzS3nEmU1YjbpNE7XfggV+H9zkqUJD4LNG
3s4gTGluGclx3bX+ZBgAUqQabVF585oSN3owjGnvRoIY1RipiVGZmP7E+BDP2c3Enej3qYMeF8Yf
mEsz8iloebs5LCAGclw9zK7JRa0sU4Co+nJmVLQiLVnlq9PkKZn1YPbzbp2JmtUK2qg/pMan60T6
jMEAP1BLa2IN5QW9W3O2zQWHsgowFV2lqiHWhcMKYUxfS1C1em7yND90S/Ng6Dz4eWk8KbO46pP+
+9TkWzdMH7jsVaaWmBG4/+GIRFf4Ju8Ri+wNhV7fjilF8Y0N7NuoThnO2mu6YDWKiW/FZBxj298S
WSlBATDUb6p6gdXt3GqQqzemGQsiRWWJjIEEuzEfwoPazm+Wwpuhj0d9m2XOPcKczHNC5ZhE0RvT
j4DcEvAsab2rmoqPt+trBFOaV6G63iia+a1OJZ1ZnxDySKOUNta1OliPlbB2YZ3L/RIZn6mKl8LA
mM4ijZBWR5ZkOyMv8XrSkD21wt1Rplq/Rhi7cIK0Fwv5uysyMIuYrbyWMXUQz6y7UohKvqWkb/AW
L7NkIs82CVO/GRn1jjkvdd/u4JuRZGkQDQuadp9GvSQJ3OC+W5dijQ5QABAMszbX+Y4eDbO/E7Xb
kaQv8InjSP8y+6Rnrqeq9VQ4kcY6MjT9olHu43Z6aF08ZGXi+tWUs63UENoPTu8TINZgM43v6JVg
mOb9YYgAvBaq+yDK4TrKp3WK1OMkq9FiNhbPkzH2WxkBpNOz8qBQOfFApqo/6d17HRWs97jPebW4
QoA6WkCMlib5mNinKrX1aanKvWKQ3GwXq+rMzT5toh+Jrte/jXN7IlielaxtfutGe9c4A1bxSDuG
pVEG7oIUX1rZU1TAPmgkRnWHlhwQDxTyd9WJLigMhOcI+lJtSI+1iSarpvM+60l1CBuGoY6TvUQK
ah4cr/da66DoH5Rbu4ACoJN1LdzpSVJzeVYMR7ivq3LT9Gh3Z3OI0Bc1/DhItjxnasWmqsTJaSqE
PjOrbpsVAM/dp6WDMOY9IzdRZmzVcXiuRx5d1GE3eVSuFj3j0rCSflOaKXrbrL6zEn5HJispykvJ
Od0SEiPactta4qg5/be0YLaJO/WpkTFn0KA+YBk6yjm/Z8NfBFPHkWqr7+PIQNoBpAz2wZ4C2rGL
GlZyqUrHw8OKXbBGndNb6YdLbRyPRHOwPflYivbIWAU0EB5bXS+fkzQN0PY81CM79o4qjyxc6syG
d2aMjnBHrh7f5GDvVNl+WjElnV3JF6Og5sNm4Cd5+ozp9hAixo+z8g09wHvaD1dCoDVLei0A0Q5r
rOSmNJr93Ni3MtY20lwJi011Jzt3zzb74GIvbtT0ul8Mf07wB84Ga9ww3wDkvWgJqB0SuIqmSnPe
pRrT4sjWs5u8XKznuUos59wo5sgfmD1abLCp7Gpq5Z8e9IfzD/Xs/+hBg4/8/86MXT7+3IWuH/hH
F2r8xuCJ7YD2r1C8n7pQgZtJR8Mrfqd6/tGIYo6itIHYSybevza2/2pEsf+hrYGHg5vKYBL59xLx
6HV/mSUKCKA0oixfiR6hClvb1J82r33IDZovpX5donhXs+TCjriAx3nz0ytz/WM4+XPw3g8b4b+H
lvwkSI/WsSl6ZgP31n8qiUl+zzCAZNO1ifX00BM0LDbmMvAscI9VOt2FMtnI2vvqyp2HiyarH2wd
Dg4LEulP5KdvslbLTmNrugFzHNU3Zu5uTrCVSNo+Tx17ssKJIaCvzqW4y+/g2Ti+XufXlUpzrGFN
95xGbwKHvGD2nRyQBTufpgB+gmfLL0FoBKyccPtk5Ta0xi3rgj4YYIIGHUAZqusnxbEvXepljx/z
ORaIddDw3qEhvFUKSVNtnvuEhTBElDWXwj207niewiJijqU9EO+Ts9ziftLX8KBh7G8IJN5OYnhy
Hegzkf0aFfNLuyppM46OIJ+Ta5Oli0XY7hZExN5yw3bXxS2/obZ9qKxonziCcgiRBU659xIZ03Ys
1JrRFQzRvJKAfYbVfoOWcav1y6tW4FFeRHolHIaDc07UeG0EjZW9Drb20HbRZSWLwau0+dZuhh0T
7T3iWcXrmfnxjQI1YpOOC0w375S5Ztfbs+6w3Ve3R8RqyGBomJR2g+AAxr/hEM3G7y+lAR0+HdZs
wM/NSwju7F1KLGYNAWOaPZ91eABy7oQ3YWLeZlp+TTJ0uqUo3LFUueTupnPTxM5dl+3xhEhJsaiT
6sZ9ZQy+x4x3W5UQmY2le0wsOHYRKcGe0ed33TQcNDMbg9ZQv6k5HWA0zY95kpg7aSxXugRE18Up
K/yl/a7l+nd9ygkOY6Fb5e4BUqXmZ9O0w4t3U2ROwKreurCNpfStvPy2pDVrHIIvCspz8rvSQDR2
tp8GY2dTfepGuMVqQ14xbzGqL8G4RpNx8wa7h2plcRT2YEgNqI1V7OIjA4KWhGwxNWVAXsZWc6bV
V9PKY54jv9FnzVdDpKPC+D6p7iExte24oCRmmVWPj5lprO6fSVMXD3UVsVxSS4Is1Q8GUljYVud+
1Uk7zRspdLdapnw4FGdeQ7JUxbsRv9fITqDrIfFxZ06ZdlAKE+caXY3D/jxQmPKbCYEkYzcmeJmi
6cVK6URlVF9GCeSqrpYk360B4d1FnQK87bv9NPXPS8idKlldj6lKjnp1mVk8skaZXYOkREygHBZ2
98zC43izyBlL5Yh1fmKrl0548OWg3TJo2knGAxn5dKjYcD9Z9TNrQ3CZh1i0RLcr+9my32Sqvi4m
Yx5Q9h1hPq+5uBunDh/acKwrlBRkBqWUHvoWzTLhQj1TI2MzGWI/6sa21ciQSZZ63Bl22m9VDSdk
NIrXUmi0K9VEvE3bMv2oAS2VV3M1vQAJwBE3i8e+VxEuKqlo7tcRfeQIhHuVjhLi/3eM/spDW09R
rgtmmpxDOl7ylbz283FN6oMhwtmaryd2qJ7YhUd5V10ijPOUt/Kp3mQHXEdeeCJDDU7Qzjj872N8
tcP+eojz5V0aV0DxuokH69cv34aDOSrWsFyPNvSSg6tSTclXpSp+rChJvf7vOa3/7evozCxsAjYs
oapriutPt5Lbc2clBLVfa8lFzB4nzz/Ip5mGf61C//Lr/Hr7/Xg5eT25AzWGgyA0f/06DSJ9c9Bi
9doyT60FTZmOVjz979dM/Lff2c8/zH98kSFW1U6Hs3w9brtHGJybca9+R78A5PQSREPk3UJn84qt
vn84O0HuncfLZPvYbcLNTXqcvD0Lpos+4B8G1Zb/bR7/9/enry/mf/5S1yxcNL3ojsEN/Poi5MOy
EEaoatf0QefwRt2ol9pTxKTRR/YUzN7xRdtJ/9xsp71JE3Vi+nxD37CdvNz/+lb+8Yqtb+C/XmZs
8v8Lqhba8n8pJPnA3wtJlHorpwGAEaSo/1hLE33DrxBOxDrPo9D8Y6OBNJwaUhDHrCPYptDkr37f
aDi/cZ4AfzDh52Izomj9GxsNoM+/vI9MtOl8Hk4mBuM8S3zeX99HTRRKU9FGaMsMJacVtzrCXVUo
fT077dprZVmhrFyWz6aAC+iaeeMBMyL4ocDL3iljeVwiPPA07tDqoL1iCrGJ6XJYIWu6tl0EtvEi
gSpDUdT6vRiqTRO6o9+sGNkUnuywgmXZ98asqO0HF+Yst0q5taDUoBGpjhwIrEsg1PaJfAonOr8x
re/aKmagrSTuXlOjbyV8W2moJzzRZ+g9zPtWBK7aptp2NpEH1vBxc4h3RKMsfgU5Fz/RS9jrx94i
jyaGLKmOwKiixop9tLCqZ0nz3WL9ve97oLytNOetW8kPq7I+iPhLA6zSQ9DB8nWl8VzqVXmsB1ha
ZGm86WN8E68AYL7Nb25ZXGUmrlpjtKHpWFX1KNMZMrSqAboC1W7CZcf5uo0qHKIhwtzFLD6snKZy
ZbhXeb1DBv3dbqdbUuOiPbtsxyvoyckeWpYgTRRrMyjyyo4nw0sgxScQ48cVHY+rgHS1dWZW1oDl
UwjzOfApw+pfixU93xioZAbEAcuKpXfU+RGZ2uRcy46FbN1LRs05V6J7ESv157IG04RMwDddiga7
kriH2S/JXZHg2GuS1D3UzRzfGJn+gMcVOO9M4KzuoExnkPCyqLZXF57rDveDlUdnVFz1cVELEuBj
JdvXZrWZUvVWw6lEkeHgvMKy5mVq8rha2bBrD45nKNhnjMim8bdqGZhVz/WpVNdRGoae1UU73VLv
bYVZ+JSCtB5ojHKLMXnJS4xIIUzlU20m322juAiVFMam1iCMb3uESMrwJooOw5IwXhQ9f6W8Jrcg
snezKyo0FuleVzHC2VUXyGHZKroBGZR8urkkzINBXZlnF1ZoX2oDwU1wru6KpfzEFOBsxoEBqmXO
SJSyyPQQ9H/TLOUZEwkePnmbg4yaR+WeHdJrz3VJk8AYblBOTIfOqhE+yDI9zVPBbyvUH6OCOXfc
hvehtE+QneBN65HYGjV1a+a451IXL6E9PbBcXRCZ5pgHFEpqO1HfO+HeTm16jogQ1EMQWI49Xk2a
uEU7WXoFDM+20w5M1X04c8cImeZgTadaMd+juX9c25WoNKE6mFeM5/cGytlaTWh4uvnZHJh6p9Gq
x02wKnPMgZ9pFAbYM9bzUI4oO5L2ue2KI/uHy8zQD7G6PA4lmISRgBS/MaZD3ZqJzxsWYISS37KG
e6+NAgs2ik9vsZwd/gJjg0/a2RC4CKUqZntKItx+EVgp07pID4xHfdkBi9bBRqwnLqcUlLJMjNfV
QAeiN726Hcb5JlJnFk3oXlVeAs6kG2O2LtPB/WZaZBjXtvWgW+LSEE3qGwMUgHGu0VasR1wbLyRC
qHe6W25zG9WcXneF14HwIPMz3xc4ALUcKVxU9Ih0eb8NS3SnqeLdLlAPRrpzSbJ8uIsiRdnSv99q
NiCOJso0f9btdz2xs41W5og3rXozG8riFYku1mzgbYbTvO2X8C5tlhSJrnZfJmNJBoedfKtj5WxV
47ghEZ3QiuRpiser1o33hel8LpTAmx6TK/tjFaRGUzPj6kzF9eibi6cCVkl0ueikVrEWXpe25sl0
2nt3pT+3Kwd6WapXkGDuhi2H4fXAokNQZp49du9Wj0NnGdprkeTnGMC0AWhaApzWVvK0UbbHfNE3
GVSfzdCbN4CmLwdXQd6zcqtTANYOIGsVOhkLaNjW5oQlF4PjvQH2GqLeMa/Sx3TlYWeYqPhulmd3
RWU382NhTjf1lF7zfuBFAKpdANdeTOQ0/QoDGdVyN9gIrSUL4xIkt2Z1RxVEt1DlQ8mOPhTmtQXC
u3aZvzv8h1zp3nZu0ZatxG/Ig2x0UijgpQqpjDM2AOa1LwGFtysx3C46jh2L+I+VJk7CKj7KL8J4
nR6WlTmuZNOh/KKQrzxygDH6AcxDErgrrbwy4JZnKlJlIu8ZckvGBCvd/J+q7IdekArlr6uyLWyI
/+arWKmYf5Rk5PKQN0iqFV6gHw6JPxQm2PfhalF1WSr/wvzJrWf/xv8nlF77Gt99VWu/l2TmbwwK
iWOFCfYDoP13SjLb/pNS0EVy6JLBYWsmlf0X8POnPiorgL9I3BJnEruPUd+M5WU/6TOrgmKsCasq
1+AqZ+rYcnylWVVuTOBO9ZVy1acx4tvuroibOYi7MvPZi+/QWAX04Uwm1risipg4tkgIJnBB86AS
qjUrXROUi3kG8AT7OFdeSKG7BWeE46LSspsentAdqJm9i+S1tEOoFjzJkZoo5ywsnQlLBUl5hRK9
zHUfX4dfeaJxPtvXZukwbBGkuhus69b0UfMridSyFWMbck5Nm+4rq7T5yi0duIhHIh+mp0xfc027
rNrD4EtnruD2ckrFcRrMWzMSMzyO8lFd8vuvuFiiaL/pKz3Aigfkf0vCTpvAP814j8t0YZElztag
AwSQj0OcmL5BQaiMSqAUHAHRapoXda0Fzjxh5S1h9moCpXJoOMyJMmzM5l3mTFdpWpvBrCTfdde+
LwbxoQo0zF3Bi2I65O0ZqHEiTOv7ic+Pp6XOXlmecU9OyV5dmNE066ityJ37Jtf0bUWKK6q1HjRq
qu9jbCPlOJJ/OCUHI2ZxZhYwo8oWhFoHx3ujp03OwTEfjVq/CYFS+hg7kb0JfV9lDJrIf518F7HE
YR5ZjymD+l2t3MAZusJXQjPEkN7titJ9i+LqBJn2BGazZUUHmcZY3Ds7BNDixt1Whsp30yW8WZUH
cpHOUYs0AzZVULeLtS/KVcQX1p/9/2PvzJbjRrJl+yv3B1CGwIzXnJNMzjNfYCRFYp6HQODrzwrV
UbVU3dXH6j7XU5u1SuKQmYHYvt2X1ygzHqW5q9EoPySFwngJq2fe0sR5wsk/ePrqz9vrxhGkQ4eg
vhzczODeGF0XITIqLvdVnAj28hh8Rp6oK5Yy7hraFGhwHrqJWz+PmQV/Oh7OBl7BoR93LgaB/ezC
ofDMtt4uFUWOk7qaW/dJ9MNlOKT32QCvNjX7xzJObhMnSTeNOWII94wjh7a9mpLuVvnRPXCdm6Ud
+YgIDJdKsEoP05Q0Yxddk9o5qCIyMKIaH11rsA10mnyvXB5Si8B6QRKp3MRujzHVdDbCUctZ3YBu
VrXa1eQy2dxV9rqcCuJGjjzBdPhWsPhK6cYFoZteeFmDX9X0z1UNVMcMi4IIUQtYD5CmI7K3zmzk
ToXDVdg5z5ORmGuK64itqBJ85Gh/lWpcVgD+bselgW/rHxZ+Mytf+88d7UQf8unB0t50Q7vUI32l
6zGuF8paeDj6z662tKNhHiftci8668iYaG8oFTgl2gnvaU+8qd3xss2uUuzyHrb5Evs88GAD0dcn
/Iq1Pi3Da0t77T3tupeNRJnWTvwWS77U3nwTk36EWZ86wA8T834rCf+k2s8fGdang8G/107/siwf
S+39twgBKJ0GSIkF1MQDXKNWZIgDlfTOme/M3o2dBY2/SQmLrVXS4vuqNrXl0iOlG2tG4hWeoSPI
OdPVtLx3tvXSBqF9CM2KhUDoXy+ULZNHS4A7dARJPYc7cJioD0ovelDEw11SDdB3GrM4KHbkdMTm
GWet/dp4zt1QDsFaJgGsiTGSm25EQs4asPBVal5O8Ca2qLqf06IIfLrcLDNr2kxR7R/yvArXE0lR
0KdtuCpNJjYYWh9I6+Va9CTUzEi6l+nsYhHo25mVBxBb22pvZcUFRgVQRsQybfO0mnmdUmpebLVJ
3UxtVJY0F6Uvj6qMXstqnjcliNat5fsks2zerU2XfXgAGuGxZcvWraJd7Njq4FEweKwbZ5eDJNkk
8Ph3QaA9Rn1KnihrX7vA3VWdAf8o2tdc2W8SI/VonElDqkUk3P2BtnL8jbUecqIbKKnNzm/FsY3t
E55uOCplFuyZk6kigudHak2ps2Qcv+WsR3cUDdhnFojntQtBYksbbXVIqmp5WMjDbRypjJ0LMWZl
cLlfxRY5HHeYjnYZ6WResLBBnc7jIjyLwuXcSCk9DwTzTZQvN10ZkS327wLD905Lz6SXjPBZuP9f
N2NyX1ksHvJFFLsG7vRqTIxundnDh9fiuC89J9jPAQssJbDEA7Yn5VEk10PKvi1azE1ep9O+aZZz
e4hOdBdt8haZEJv21s60+wuNYpX63WXoZh8BSB0SMwgSfsiY6hkuxU8uRTGB2mJcRnZe8EGapnwU
Y/5W58Y1tqa7nKKitYnKus1073fnNJ/F4n/FpYllCjInNkHKgcfUqjayMF+alOlrGtPLKBzBveDw
2mA4jNZ1lJ9XQWkesjmLH1tCmBAiXjyGKRwP+dYvyi9wdy+uTVF6Mlw237chQ/kRuVa4FSGribAs
HkfcpJQmseuwcMEtZmNujCK9ENjiARrm5wWW/rXDM9U1Jg4wIT5nkKL+GJ2CSJV7QqJnkORCLFzY
Ld3qia77y1m75zyF46zLyINH3Vnbi3O3KL8ZTfAlZ8ZHDwWlao1D1GefLP92/VgP+96nmBwjx0rW
xqOZmaclPi8zZpXRh36Sv4Vj9p5AIwdZbMIF81m0w3Fxh4BoqYdVoCcJ5ue8PCWTOsHv83nh/ZxS
uL6zLFLzJNBXrEHv0izmP+YAn0pIXF0hVg5VdXCFgnTPze2VG9gRt8+u5abDzso7W1wi/GOTXnlt
sIrwYQibfxxyOimL7DxHtdrb5QB5nRIqcnl0BdC05ZfQWKpHYfPAC6uYJDfxPBXYtKKkD52kEZUQ
XYrtpL1u0vCkmNw3uJ1uR6PDkZS51Po6JFDrmbnU0kgHWa6YLki5Uni4A9WI9rOw4APidFdOLT9a
UE3bhHsn7quUFIOtbw8d6bLkTKrsKxFuuotlQMFEtq+XfU/cy6JiGl65mE+Bkd8nBeZBYgLlmjX4
PssmGsLI2tX28m7TduLJ+D3w0pNjjUCiIzPhxWrfKLGCRmfJzOVBPHXnfHzuY4Wsxvz2KOgggTOD
gbHbBgc7Lg4WfMhpyDe66fqm8rqSKqkKWvY2xZxtPCVTXZtYXKu+O2PnJ0t0LzkF064uJkPdKF6d
ynRTY+NEbI/ixZfpJgjzs1qiAsy5wafN6PZLGDPQ14RL/azBRExEMHXqjVPSeUH67BkC27KtAoqV
JxULusGzB7ur7qTjzTu2OV9t1j2RFXRx1Ql+UtzToRseE995a6r5ek5Dd5X4WFCSdChJBPMJyXMH
/7DEwGUgjPA4IXGXmzzYqGH2eP30a8fdnFINQiHJqe0ooywaZzMP/uU0pFfh6J90tmhV9dmbALrQ
h85JLIrbTd2882yBCloU67wKHvo0dXBqmp8LVpX9kpGBVFNwwO56DbEL9EGy7GdGiRX3Grnxoupb
J0sadBJjDRxz2bW9d8KefWvl1E8P2JzcspYHzt1TKFmTKpeHndv3BDT5RGcWX9ClNTp3ip7GEda2
/eKtYHPuG4vbLqUar3kLqCO5yhsyPy4pvdk+uh0kyjCYLg3CH0iUw1XpZt/gm7IywREjVXpZx+al
S3VlUU2XjnXlIdUZtIl0nRGfTWb9lMv4OCTpCw7ehyasWRNSbx50+9nz79iKrrn3XqrWek0bcQhp
9t7ZZXxclL8cMdm/8g0+4AD3Nj53wW0yNKRqSuPVoYrjqVwmurXb7HxOcmhoGLNJsSwXclIgojyB
Kcpkb4nNkT7yvAnAnuFQKlX4Urj1KbWTp1Kigf4z0H8f6G24AX890N+9Vf9v9Vmlw3/Ys+i/+WOo
p9RSz8w2pJuQfzbEEvPHUC9+8zDJcNuBv8cWltDG/yZHbO83cj7W/07tP+O6+RNGXU3w9ggIglr4
W2sW2/91XceaBfeMIIYCysEWlhvqP/9ppu9H5eLoCgycqnQHFiwHKLOHDeIxAOKe2eW+OhjcAddZ
Ut6YARdiRFP4di0TuGJoLrLhuHQ8HppsBFzmcWJaUkUMlIHkJty/y3J+rLP5tTHbCzUCEwY9dAIP
0m2dmqhqYz/EFFjQ9ZFt4qG4nRkm125rf3jgViff69eRbd6EpsGnM4hcHsvdkzn7X9Dm5l0mm7uS
E9AXpeBaDVxrNPwFewyonRFmcioaWjg5QrHpEjTnVK1aItGCc1bqA9fB/I3BpDyjZpvT2NUHM1SH
zNhEs/PafD+3s+9nOHlIfaCTBq3vxzYzG65ewok3EJa5a8hw14iONHavuNyao79ulb2dMLMD68mu
x0yx2a4wuNRBgQc1+zb4/mdkOih+acBmYbgsGIp6em0jhS1UhiNeJFXf+bPIVyCCXrOCvMAcdhYI
OTGtcZqfe1Hfn7Vm9U6ZU4abs0jo6kbQF9CIS8e6aXNMUFXiuxup8nsz4X7ug33rZ1B1s+k8V6zV
4OPWVw1a7IkHmVobfkgrRnhlx82xKmi7EIzlXbIrQv+MhtFnbGmsrHJbHWsPlG7lmEcuhyQP+bm3
9gDbLiKvtjIL3IV8P08EN9MzGK9Q0vj1rQIRGTopWV5FgXlP2di0Kxv2NaHnnzuYGPFxyzZ9zHtW
Hduu8CC84vNGBVY3Zo8L0/TQgjK9vega8y5GMsd7Skims6/APO6M2TrwgLhxM/8YFcs+n8YDgn6P
dySmqrC8msNpb80W5Bxzwpauy9uaVZK549EpsyfXr++pXSUpGTwCdWDk7vrDPMb3DQyRTqZ3XTk+
47Q8iBmqQFYkzdprWaAtqc0zS7pYPLhwzL46eRUxDV5yEGpj9okXejV1fG+Git0tLiSMV1a0mhd/
by/uq0WLWFSZ0WoYi4sljm5Lt22Oyh3iE/Ceu3SU75XRb8v+vhuFWIdteBMn2aYB2Vw1y1nniUcz
zCidqLN9n3ZwC3Fv1DCC0j5/Lcc43TNp7DQXamUTeyGtla6FAQSD8pG3MGITYZaSfrrlkmvIVWIG
T5Ylz+veQI2buWS573ZjAruPsrslTvRq5qntJL3b4rFoTbE1LbVrK8bQNDcuIzPcw7u6HLlA0TRT
vU8R054NBTmMlVzZU3FeFPxnpCNR/wa2XOUxiMcTzO9z/stlO8+2febXCDWoWoW1w5+r1t5CvO02
gWpqYdWKXzKduHBJInSu+bVABMXu9NKHcifDCU8S34IdvKLAw26C4kH95sYWdOUMNumk5ln56DlW
iXmLO9MpsMbbQLQF90hJbKWzn9OxO8oerJAxMUYEDkN9fPR9+8aqiOuqZbpwicqtgW3uo6oLjiHh
nCT392mQP2VWforN/sGvGpNGAZOyFmeDZ/AiAdedm+NTXjp3XcprUTbTh1PyUUM8BGNyNRfleIwV
fvgsnQ6F1Z63oXXLm+SsHgs+Yd1w1UfmbsLuz7tqeia6ulmwDO6m3sRQKc+NUJwbtsnVSRpHRzkH
s2MkY4ouF3mQBJJJDJzYO+yHYrkZpnxgWdBekBBiGOAtG+ASLPviITKrV0TBK/hTx6FzPnunOUtq
7yjs5HHq0zs36O/ByRUr1wMc6NJgOgXvudkcRYnss+D1ZmQ5qaEiPM7luhfyImEUS5fqdS7su1Aj
ZizcWKJuicp65t6Z0l3VNFfc5M5TP/j6527y/W6i7RB/fTe5ePsGLPjf/R/6b/24l+D/wP5FUvT7
U58isJ/uJVxZHBdM079qFn7cS2AP4BUOqOK0AzwD+jbzY9ng/YaTi5sEvQw2pZ2sKP6O/8PTVuF/
+Yi0/wNMFGBVnGHk/AJPm7p+upgYplC9NdAIFYXlztcT+UC5wqpgSMeL+dQwtDcz8LKFMd7X83xV
wi+rR52y+XT0xC9Dd53Ysl/XfnE+18gcC6nTKpnMjUAwqLRyMGgNIUBMwL8Afj0Nwy1Asw8xktQb
gvFyGAlNienFQ5IQSBOu1ijSOHn1wmJjTDJ+7KzRhNabn8eljNZ+pCM3g6h3I7JHrfWPWFgviMgY
VLU2wozWb6ThOTs2KV/4CT/twmUq0ZpKUFPoXSKz1Hlyg+b0tiC/GAodJtSKTO2myzZHpHG1WjNq
WFqDOgjesH4PkHQSpJ0SD/iqk/yIo9Z9+kZcQ2jlqYkXF2GIUOK0zzg3aV2xrt0suzYre16lKVXH
UitLhdaYYCVO3GXkBxIHHDbBbSRPgmK3JK7a0Ad1Dzn4GqUBhcEccOjCNz3JMrzrEbfKUtCdLTu4
QgjGBgJYghCWDDOoKrRiXyb9ykEsiwXQ2bhGP4PhCJtmdBl54dBt2BktD2xXwNDXLkQuQhM0oqLH
EeXPdmxavxlaq4tphGD8NuNNr5U8m+wveT375GmRzwmanYKdeqO0Api0Q7hTsYkqWJQh6HOUlUpr
hrVnAM81YO37uxpRUZkN2kJMHUDRJDBhYp8ZFhHS12ok8ECtS4IqjNsFFC6aZRGXH0OYIJJqPbPQ
ymahNc4ZsRMIDxXVXXOR5g0jsVZEWQORaUMjNRFL00jAZtf6qYWQmkd+QnpzmjeZVlmD0XcvTa28
dhyW63hcPsbOtFFdMIuPWqnNtGY7avU21TruooILLOjsVGbvs2vYmNPJdllJujTsgbey62TzJp5S
dMWY5CEXgLsK2XjS+nGKw4TOAb84DP1cUBwgcWPrqkiEZ18r0LKMaLyJq2Bjan26RajmMUFMyimc
A77elzCz3k1EbV+r29bcXxjA0Pg9By0GV6AHSOEYVjSmx28xpfShdwMsayCHA6BWK+gauDN3PBZs
ySIgeZpjPvNWHlBVojE9Cl6PsgH3+LJ8gQLRI8Gk9M5rvE/rqsc51rtBjf6ZSU4HGgZUayxQDh8o
0KAgCTEILFMFFwyIkICUcQ6uqCXohVkC1eB+gTnEMokgLxAiCkm+0qG9s2woyFZwPgWsY6AWLUTm
LShGiZFcmBprVINFAaQ1sunpnFt6gSZWNGCQKBg7DzQYyYeQVH9HJeV842F86GEombCUPJhKIDz0
0UTiKSrVWW2oN8vkVgJ/1F21ZKPxAk/eWboMYJXimc1m5g/DEzSuqaYUogGLjjpc39n4WB/reZYv
M70lRKzMfuoo0AjcV8pj3bOhb4r4GtdNHByH1nBeo5j750WG/XpfhjmRhDB6Eonjbd2ZAKWISEBH
vF8ODqE+3E8LKyXed1sXVsuKd+HL6IyHJS8tmmK9QwLGk8A+niqZxiwr6ugmWJaruRqpailppzAI
rhVenD+MghOupKgQqlRhbcc4+4o7/6bzzPpgcH1Wad/Adqc6wNfs1nD4VqrpsXWRffgU06DRPS7h
SM+TuVyHJPDHXNFs2phvYuYcJ2Z+lbEZFlIUXPWi/tBCluO9Fl2p3LTWasB/bcQZS2Jc7fmx0tJf
b1dvfj1RdKJlQR99MM2zdwu9kIEVTJnFuIgnZ0FRpGGOz6EWGX3URig31VQzWh40I6Fa9unIPXsK
rmItVE4olh7K5VIORwJ2gHPQNEWJ8VtomRP2KCHNUmLGQgJNtBjaaVm00gIpCyas6la6HbR4qlBR
7ckU61IyK8NCuU0zAitF59Oe217XWoRttRwL4+C+TSyI6Ezibsx6ouuQbtFwqb+8rtF0DdQ0Sue8
pyyYPjIt+8q5OJdaCJ7m4TxqlidoAmTz0iulJWML7bjRIvKYNbs0NFGxA1ZlyMxo0TGJy1qsRjTo
yk7tNWMnZhIu0SjU0OUABKJZAzzpdlLL2HYwnGda2C61xF2pmRBed+Zo8XtMKSFO0cMZAjmf4VXD
y2doTu9o0XhrUc+tlv9vUKcJYT23eanNgI2+1tx9xPdSxJ9ZGB5cRPna4E8jZHqy5d8aZPvSSvb/
3Ce/3ydNDCV/fZ/cF59V9e/XSf2XflwnLfEbkApHN3A59Ej8QkexfgttXd7uEA6DxvmTzIUH2UTm
+MNP/Asgxabkjj8DacJo51l/5zoJzvnP10ko0/iS+Te5vDr6n/vlOkkm2rfmMQivrBKaLiuKpdl3
dh1XN7ZRJdbWTco+esWf191Ap6q8s3JKq/UyhScvC09dFeasRvL3HFOdvpBN1gCZwwGkt2rsYi7X
nb0cq9lut+MU3jC8fvH+Tdd+R0npaDGDW8SIUvby7d6kuiWo2KU0xsFIi3e3ozMIjvEpzuRNrltf
vKHb4G04+KZ1MLF2UG4k1zQHGXi/1J783aXFti9FaGLdTavMaKqD0j0zlSHeM4pnKNR0j13gP1Oc
gzonP9D+LwCcFK4uP/JeQoj+g26yweD62UEpzHXHTRYOWhuh9waqxI74C0Xrkzi0VONMuiNH6rac
3Da6baMbdDgM+GkhgG36GogoVTtUQJfs3mnf6XQPj0UhT+LQcmVDMel0V4/oYh9csXgLqPHBjz1t
Wt3sI+rxpaTqh0gxG+76atYdQEYZubtS9wLRg3aUKU1B31t9BTeOjSkdznzdKNRoLBY+j3JNARxR
IXVTuvmxpypjlVjZN1UCvTF1R1FXRxiJOYTtWL1V1gjwU4ivwTLOBAVHQKFO1AEyAoRc8KfvLUiS
PiQ4CMCcdUfSTFnSQmlSaVTymdcTivjrUnoXTko/a1FQtpOdmV50J3X7UifzrN8QuGmTk2FVIyub
NAeB0BRFnUCqpA29vZxj1z8WPbnqtTslCAgB8asybsMLyzeSMz+v0avQ+Y/8XhpzS5i+2SdREN6B
OaXEvVAaetLWWF8mVzn7hlaTYlOMc7wXqibTzLXVOvlFMXIJ8oKDseTm8z/H4e/jNambvz4OD2NJ
P9m34d9PRMHf++NEtH/Tbj2bWKJHS6fgxPlD+Hd+4ywUru2atiMgRP0h/BPHdTDYuSazN9A/ZvM/
BmyHch9TM43/5QH8GwP2n+MVDpSogB5R4cDFsOCh/HoeDiMdUwht8no0z2Igf+q27n9/WP5lHOr3
uO+/Znh+CkIkuIx4drsWPGb3TyBmdHY7y/K+ubYloVgGP7fnGpbYVmVfJyZXZR3anPOb5Xu2PAFB
88wJQeI8MF21hsg6WxDgmnVPMr1N5hMU8a1nw4DQ0fVRZ9hVcR2RaS9q46jIuBtk3QeTRKAi/b7o
FHzaHyIF6yYhH88yRzAKtWdGI68MEvRcN98MEvVj0xyp+XomR8DqOk2uYhqHA6s4+jqIL0jkdyTz
Gx3RLzix9qmO7RsE8laDKw+wJnJQtqwh6Du1+zU/3nPsmUdT5/9pTD5rAQLQRZpgOqeJW5WfkWYG
BGWDUqs5Ai1AgQawAKXhchNU2ngsNa7dN99nMATw5kuMXBWt6PFZZFkPnSYWWKALcs0wSJT86IEa
KE03aLMGhQPeQdj6AEc1AyGqOzRHiu58px62MaCEMiYSM/T2DQyKmGfc+GxkNlw+6Ao8vynDs4av
TJMXAiqfVz4whgoog6/pDI0Dp6HQxAbPpPeQuTyGhTNW27SxcK9TF7yic/tJIATavJzM9catK0FZ
lVZxj0YAEBtUhKGZEZZsjiHwyMtikPQLG/lZb6Rgp0ULrAfoRDx82Fm9C0FRpKW01s7ccqWl+jzS
vIqoDTBXgbDoNMtiAGqxALdoUkz2EtzF6DsfQQ//IsjSr0ATMWIHNgZKwD1Zmi8nlWsTeEbaYogT
4DQSzdVA2V/XzCuT1b8LTd7oHCyQ5LePRZrjfgPPkQY6iGMTy3R62B2OYYYQl8drDOQPUwzfwwD0
kdgJdDHQH/E8tBsGwHFdRcQEHOrQJp6Aiz6dwyBjwtT9UEi6rCaecpPtdKq8rywLX12R684XgqT2
nFPWQmf9RcXSbB1nEBo4Vx5i1d5Vjos8m9tXceH7m6ROJG/W+XXKCt49sqWsR/L7gHH2knsRoWKe
31NWfTpCerupMx/yuGAnT43MbIAknOIBr5bxNRjBCzWNeMdpI/Bt8GKbGegbosfi1dZ2sFV+bL7H
UaXTtdGh4bcRkmtv791YLivuFbzLwyJ/yFmHHt1lzq7BAd23LTuQpfmkV/eIKFLQxNR8E0OLBRND
FkIP8kguh/OxS7Mnxxk2hUdpQO89VuF23qtEZaeyxpthGLfdmIX6plG0FPHBtdlMMjg3/BlMWQhA
vC9cd4V9aR3bDVFf+8Lp3ZK7GEoPTYgNn01dOHTJvu05CdzP1JzbFccaagUs75Ku7ClR51xn34wZ
YBU7rNIdX2LQ7/rMue0qsc0acVsL+yiFcUtj4cYz4kcr9176AJqdMM9DGV+TD71WZXKx9BDsMHNG
ofqGMQHoh59t8n7ItxTxwV9iPuw7WstxtKHcXPo+4k2bg8gjRoUjWK7qEEtKFhj4Eo0rNXSs7cJ8
G1n9Zz8A4WvnJ6P/dEfeiZPn72yHBtB1VEnWBmEkucRmozKMrTkp/9GPp3nfthBesph1nRs0Q3OZ
2/ZzWTvUHC3t1p+qGA5oppve89pp1KqkAnY/qLoDF869LLDLx7ztd90gn6UsHvvWeCEwZd+Yo7tc
88Brd13RvrWWOCad/W2Ogqt2UZdhEca6A5K4Hf62TdpOAZy0It2VSxneA4lSF3GZ3IEYesdZa6xl
PhbnHaYILpsDKeQKT6UzJC+Vxasok/s0rbNNaBtn49Q/j6JesNQBPI90srzh+6NbkmcPpRycAaNR
eJuetukrY2BQ9jLEOKVCuY27GstI5/RPUdiPG2fwywOf5mDTFsPG8abpMIlB7llp1Gsb1v1eVmbC
ba9BRRxwp2I3cw8ShKwGLV/DdL3tnUQbMfbZpC+oRvSR1vilF0/cc9V+7sR8F7uddwyd8bkOJU1l
8RJd/nQXYZej4rr6GY6hN/Z/eugStmeh7zHr+K4e0n4Wzr1ibOBptON1TYOKJ66y4N7ju3aZFjLn
6b9/rV9vEfoBz6TnCVsAHfEJGuip6yeRvu/rebBkL6+DaBvlj63aJcb/ESj+v76E/vOfvoQs2qKQ
YyGvGz6YyvDZNr86zd3/x88RMmj63NiEpW9dP3+RPgHBm0Gkv7a7+7Y+gYE3puN//xL//rLwq/rp
S/xpnzHgVoyFM8trJ7gr2x3i0JZbSOW/Zer/+Eosdf70Bvj1K+nv5KffGCB5t/QoW7tu6RcQFbZs
62wsMQltpxJRavnd//OX1zz9jf/6fhMaPOo6bIvskPTKr19uQFRbukFIJqBnMRDB8u7j5FyV/8wa
v2OBBJuvv541jmXz2aVvxX+YNfh7P2YNwUChEQ7k+b4rLHwOf8waAsMQtCCfw+B7hyd/68cyjwHF
ttmtCUo5mUI0fvzHMs/6zSPJHUALYkpg5/O3itFJIv3yHmGBx54RkjmGJZaDfAr+dE6gg3fVbLTq
YrYb6gNFjpPoovFh63yZy1K5XLUGc+DpbpM8WA61l+cStX7OOME8J7+NLPyAAXHBQycmX9GXbX2w
aEc/D6M3QD53eZSX1woSLPlXz9phnIq575r9Re15X0kT8MQtYWSLik5tbN721scsQfWB9Kn8E+5p
wZN3NKqCdRakjkrBQyMdlGVxd9mYgmgGNlcyGvk5Ebxq0zdS7TqX2+zQ4n8pgOSsYfKQOiEhdelM
6ix301NQD1QcpEW+y40Q9yDiUsDdmn4jCDBqN4fsfL67ZlrueGuRU7fSzjwRobPBbHGMl4LTu/Hm
6sxPxnvhJSaXHbygeE6bdRwq47LLvA9Z8aBva1/soYR/LVn2ipWJ+KczifIoIz86NU6mHvBTY8rq
kou4t1EUkuxziBfrhWsvyw3ST7vJK9qN3xfkVlEPWr7dKjwnByu2njSNM6eZzZMLsHOfwusBazZ6
p873bwKaIe+YhI4yUfdGw4a2dqgmM4P6xvcwxsMYohbVdIDF10xxS47H1zElGpXKjZNIRmLOqkvc
l6mJCfWYNvVskRLDnsZuxTV56dCKrxJeu4ky+fRCCe7sKPnsKVpy0SZ2KZiTw1UThC3JJpQT94jb
xbo3rLFIj3S+Y5KZqvAqJS/brmqq2LD28EuIrkLsXvhg8/BrEmF+sogkibhc7gC2Y335/qH9h0Vh
I2v89el19/bRvZWf1X80SfI3f5xfqMcm9xXfpA6QXKEGnv04v7SwDG2CCOPvf8Lf+nF+0ShlA5pA
yeB/cL/z5PlxfgUUIaM3c+5QOay157+jHtNQ9afzy/V9zAh8d+AoQKT9GWrCvFf1Sz1LfDqERZwx
bXb2lGRbPfqU/jzseiPHNkz8a3qRWXneaOa+xyG3Yl6G5qrI8hJHFLexhvQHbrkqVeWvPXKK5+aw
vLma6R8C95de22/9jOKipoju7NHwLqqJZh4F/GLXkOC75Da2zeLkcSCgKLHtsZwJzkqIEdRNfeWz
epRJSRopv2qLbgMR5xASU6Qup0wIF9gNVgCOxkXZhXYB9pwj7NTQyz8z33mQnvGaT8annBLOAkwV
61kqVmZ1+a3VjqncNAA/TSNrTjq/pT6jp9B7V2BWNetMrAufFqsJ9OeGvrbHpKxvLC/eejXmaV+h
mbTjMHHr3o8xmKej19i3OPYuENw/F04xVV17opHEAvJL6md3TI5PJcuyyIo+ksq9n1z2UWb2pWKn
2aSFdRN0SrEsx109xf1DbQxwsUcwzmORFPgraOdqQ6AhnUfMgGDXBn3FOfSBSYK+YEQ3q9FfLTWb
1DIFv9FHdHsZg9czCMSHHPTUqjTs/Tga2a0LzmszW5A0MsUcKFJsHm5t2BeMaimoRskgT8jnbIFS
TeEC1lKjNvfj3B/hLqWbzh7SnTNm7mFkDMwfq1jn2y0ddacZidR78T0BX1DVOtsevbZzKvG4BV+o
RoeZ3HwyaExb2Q/+xRANffjauUv6jeIhIHehKMJD6oho5/Y8MXyTquieXSmwUFXtGkcCBlqs9CHA
2djBKsFQH77mKUsLd2LdJ53M2hjNSNJEBfdhBYqjdFGTo3FfkETiiSsejDESm5Fg2HYG4ruHNxzf
UrXbMrpa1VWvQzS4Xmm/mC7mRGGRHWilYPlA/WRbzNcQgdHTRtkgvkzvPV6Xcz+3JlgEyWcjkpm4
iDLpJhaXRlBHw8ocEcINYiR+OIyHboy6g9V5xV3rtcXVVPvVfW5h62sgeqwnp7mvg2EzDB6MknEZ
SM26h9mrdMMZPZVsH+Bz1upKDmG0NuyOiAM1EVs3xec4cAti8xzBj1Y456Nm3SbyEe0DjYWJk4An
5onYIcJgzY5xBGROnWUGB7iiQneTBkO1p7Es/8htl2LyUVJKQn1mLpP5QKcERtUhXJxNt9Db5LkA
5qUtolMS28FFMKnL3qNFI9R9Gr5u1iBF3e1m3bYxECK5MAIaOHquSjSG0srxz/Pod+X+vz6PjrzT
/sNN+qcnkXDx5CPYgxz60VL440kkeN5g4bfgZdq++MWu73P9Zu1JFaD9veeB58ePJ5H7mx+gfwc8
NkAj/e095q/4L9xbRAVs/T1QZm6D2PrTcGcnRSPiieqDMveSXQ02djPXJdrmjbKmhdhTGibR4m0d
bG4JOIcpl1vKASwB3oHjQMKeTm0aAoK0VTgmIAvQzDdKtwMsM3vtiNxTJPYeviVp/5XjFGlPtjLK
Js6IKKwruq280bn2xzHsqo1vNpNzPruu7AG4G23Wv/kLbe4L2A4q4IlDzd8rpwTR5n3WNyH1A2Zy
jOcOfLeUzgM8ag5O2BgtpVbuyskzpO5WTudUNagdjqnq0i/y8VZ4uXw3aQ5toBcl8fvkdDPdaWap
e9VqpNU6uswM19lBskkIeAtQaIG01Q2m7OhIRE9e5JUvLwXgjk1HSLyWxP9XM/TptyBlhVcMZMPW
CQnDY+Jmwz3NCGTJeOp8BEsR7qekkCjS0EGBjuyxetm3wWIW21mn6IvRnB0ynj1p+2Egmu2Z6rID
8kTLWNb/D3tnthy3kWbhV5kXgANIbInLqQJqX7hT5A2CEins+46nnw/yyC3Zbjt875tuR7vJIouo
zH855zsbo9SwNDUNdCPWAfpn/kztrvJV0BpaCQ7UcULxqs/lfBPOxKWtEtGJzwkzy2NXNcF+YpX4
ifNFdxlc4PQsGaTNMuuuXZd84S3N9yRcavdaExFfHIOBPRsDNlj07OFlypLADSYzuph4MbaOg+0i
nh15gRxt7rKKpEJngqIeshT9gqMiPUE7aZ66rOg2jRPncLQigUpYS7G1h02C8dtnzD9W1i0DamVD
Ld7coAApXVxdxZGDvT82TXKgdCD1keCNDfqs8etghOlOlllwGIsI1wMSfeXMqUuuRtSAPS0mXOZt
S0tRTTLflgHOc4IhZgqqmonCLBz/kNaK9cSY/RmMljgJRZZXfnx/o6CpPjeFWNTOtXolYg7EpRzi
fRAhtqEmiBn/ltNdWGNIQdRI4mPUgZHuZ3/TwPoK/q30f51TCIry/17pX97Ktz+erMvX/FbjAyG2
NHTFgEUWjQiH7veTVTBuYH4hmb2pIIiXZeR/anxJba9zFmMu0S2br/p+shKRZqIP4cg12TOyLf0n
Nb6+9Bg/zLEQHKNs1gHYoROAc8Ko4uc5Vl01mWH2Yr6WCz1JEy2aAYeBQmlOj1pcbf1QfjEgB7h+
2X1WO/81stiA8ck/NqafLi7iR6evXDaXZ3NmBWm2aBjhvgPpxX2L9HLy5Y2aBoCOtE4QL6Vuk9E5
D7p5KrJiKwNnB1TiiuwCnro1Ey8TsD9kRHFvmXwcW137UKz8yDSHI7M3grO9ZOwoJeshWZneJBbd
oKJuMxJoVHOg/hLyyS71m0akVxP+xKqrc/QsuDBQhU1bf0SoNZnObRoH98GQYJ0kB3MyY+hsaaG6
U2t8DEUQn+e5K9/yltcBd7ClwoV3jCxasbRdpiQQ4katJhYMIG3rENmwBi9y6NQg8URJg9AJ23GT
sAJhbm6cKv0cdJHbTvzoZQ/nrUJ0sS6MeIvXYQnW4k4bkl29RFIGrQOML3RrI9X2YiqOugqoQkMA
7ecTbX/N1MVPkB4nBSmOg3VfkaC1mWTdrhXkeUwwauMqU2ufD4hIgetZK7Mx0z0mtouV6FR4ebtu
Wv+1CeRDTFe2jxR9Z0w+9BSVjaUxMlqwMrcxY8R3BYpXDMa7IvSbFVMf9QGrCUkZo7nPckS9RlDe
aZTLI3XFOgSrgYO+qdZF1Ph7C0E2iJuEUJXYIfUEOeUcRhO8QUI2icL5Ums5LNwKa1erzOLOqTQJ
by/xQhPBHVL40FVaDfvHoDJIApWRnVno5XurU8xdIEkCGFhn70u2T6MNE603DKA2wo63LeEX1Q4U
c+HfU/8jdrHCd0z8pSfJpjnMZYgdKK33dRU8NKpFXGordoYCUBFWmNeEnen1LFplnxc49uszt9jX
YmSZbMzDUR37T2WDm4V02qdOVCjjwXWve78k1U2qzNjmU5ePpww8ACEw8S0lMTJ2wsLbwTyTzspH
Qnli+0tLPcy7WJT81IFxtYHmdVLbmBG3YWOwCXWSZhvb4pRaYLdUp8Uk6197NXl0QCBTsvj7QFTm
tkc9uY61KvLquGg2UZi/OWpyDgNymtIg9KitzjnNUmv2xXqwlffIj2gbp2odKEGI7lJ916PyCT+k
qwTptKql0N762iTVQnnpWT+thlaedeRVa22ykls2na9tyZWn2e/23Bwns7zMGjGp0WwQUGNeRyzm
57zOtqkKIgeG21EfSTmqUVvB0LgD2gagMppehf2QKJ4xyWMZRRunhwQMqQiKeKk8RD0jszZJb2Vk
KyTZ1i+l0t7FVucTP0vNgGtxbemYnAbU9yTPKIq1mxt2S62PlVKtSa8jx3WVhs7ZdhwMO8k1ylhi
46+v2d0ce8K0tkk2vzoWC+6WagCxUGViZ0yVOFi3fXXqhnnvlNFnYeJr8jVwRNngrMoovm9T87NT
My2g1QUoVtlPgYLoXMt8PsQEL7Bobb2s4ixcOQuWsckRtP+68Pp3tqZxBf33G/f0lnz88cZdvuaH
G1dHlEO1K5mfqTqj/99uXP0XGhiBJIdughH6D1sBB54YoOTf5m18w//cuBatDBxlW1usPv/M4oNj
6A83LrYjh/+da19VSSH9+cZlHk7GSpWb16RPgyNK8cq/H8ckJ3BJoE4fllNsWs6zioMNgF66N2r0
GuZy6iU+EpNsOQmHb4dizGBuMy4hUAb5vSsdabI0uT+HGMU/5oWD4sTm2Z5hio+purEyqJfscDfO
LD/MuGdfPMEiI6NpRkkYBsd8HI5xnm4U2TM4E3F31/YN4+TRek1Hh2MpDh1vAEeRol+f0RkMIrir
tLxzVYsAyUYwGcyzetfO2oUErQ/QZLeRLq/MB/asbe+hW22VovmkBLI85n5xrEIA/6ER7TVn+JS2
wVoqIeZm8zGIJB8jiXzISPSSOj94oc7e67L0YtV/gaLz1oUIp6e+Imaz7QeY/gQCRER/0qySoVVD
srAL51gRIbpKaoHyMr1UkCNAdQTnKjPe6rC9tqBBW95o0DnFei6YcUx+eUCxbWNbbnemg/2DfaKj
CYSYcw7ndTFelzoR4PZ0mH3lk6zD22kwiEtoY8JuMEhU3ACeM4X4KBfCEYaBdTwUO3qrF3K0t3QQ
xdrU63kTTCmc/TL80jADWU+lZrokbm/B6B5S9ibbTIpLXhrCHdo0dCOi4Es/NDy9/tpZk7qzEsvx
WAiwZDEtF4zIV2UkRAvpG1PQjqFMhAyit6sHWUvwak66A31LcEyzIw2V/E5ug7gt7bUZMDUiS2p6
JbX+IAPj3abvImY8dkDezi9GXR5AvL2O6nxboSRgUfAylFB/6jb8iv8GwtaQgKRs4kuGbz5hCgwj
R2uQYAzAZ8gJIh6JnUMZbGLRfZlCcCn0+BvO5C8TZTHTxXoBoRL39Lln53qis2YHki2azhZ9XeoO
i9KT3x/c2bTIP30zQgrao2m2V620AZ/hM+AvJWxUM6SIpyvGVTygyE9XkQ/3O2cQ6Siwb1Z+ogRc
MGG4m3r1OvNhuJ1kbG8TRUKxpP0kWE0cdD3W19BhcA/zNXNUKtc4wMRpj2qB57tHRotbPyFhnAme
oUfjHgmRSTJhER2kHOet3ZuDB6WnRZMHyEzt+80AykeqwRX6EgoIoZ31rspXXE63qLQxdKXxpbLK
aCW0ZwYU032tKclLrsVYRysIlzrbGc2vKWGIal3Vlp4ARAlW3M/tasypIXTGDSuJxHKbCUdx7ZwU
A23o+gvUMMrKAoK0Mp0ZQHqJg/iJGhSbQ4oqSETN57pTtpqOrb/X631udTrTcXlQMDwetCCVblHG
2gpeTc2ljVINjOCAmaW3VkaEkgnDPTCjrC43SpnCwWtn9UuliU9xlvkbp+H/O9SD3JK5xamUpOa2
yKhoGiVWtz3actqO5e/rW9lqNnw8wOE2HYZLxCdqPRBvEjNDDAd+a1UxN1pQHLVJ30aZ33qFA+Qk
nmuadUeuxxBjnS47/kL4dwAQbeAvTpssz25DM2IiuZDNoMEdcV9jhC7VbWQmL2rPZF5p7ueEPMw0
BaYb4qnKteTcdDVy946yAX4UKV7lzuqar6SXh67J5eECx+UDi2hJnOWYPWRNnJ7I77vJeUdZCIJp
zQq88gE+IYYrz5OVk/9RHskw/xgLoSEFyw5tMtCWa+PWBmb277Tz12kn47+/qBCK5n/+Nw8+0o/m
TwoFvvR7oaDZ9N8mI0+yZWxdNfhX3wsFhp4Oo1C6doTM6ITpv7+35sYvbN7Y2qH+4ApfqoHfCgXB
pFRqsEwBctmMPf8RpISC46fGHAK9uuiIgZcQ4Uca+s9lQixtPje5E1+6zJtNGBnh1qief3hjbv4o
mkIB9SevwiABoTb+dT7NvAc/qmYqn/rCnM340hZxlLqFVHN8VZgjAJCIxIt1mAAFhzSRRjKHqBVC
S5n9Y889eqeW4W0aya0ww+g0qCpFAG3qWpNk5qZapK7VINwPItt3fYjdnyyuTjup83DbTOJczcVx
hGER1cFBjanUsx6nQKxWpEtPrP5IyZioQJx34l4GNJlEesUtCUII+79GJudIk1tYOdjXOPBE+PrR
ZqEEJ4StxqDM2dYfRtttFVyesSOYeXZzAeGpzRFdCOPJ1x17a6em/ioy0KkwBDhR1CS0vLCrytQr
JlAvBRk+AMBgfO4CB1QfPAD4SxyR8mJNzcRnFtogFgmiw1etXuryaRaVhVhapNtamS1zqxUD8sJ1
qbFlrdadmbWTz/DEVK6yEsqZ71/iSYapvGgui8Xwx7Hh0uSQTxsK0JS2jHZ6aiSHjumjvOH1Gv3V
nAK7OTIbwI2Hspk009ocb0INz0wVTM7RqS37gC43eFlGU8/gEyCMpxM7/jbHtimZORPgIky6Txn2
lCfq0DiPRSFpRHOj9ECVLgCHMcSIip+zCoJp3wuzZ1fbkdXKe36CvNe8NVSM4wSbaRqlWDlVtFcQ
yHpsESCJQre/Q2R9iNUp9ZxCc+6YyNLSxQBA5UQobVGSGz4mBqHxmmtX0bPMzP7En653rQrPd90C
x22YWVG6jtHBAnrv2dx927ZNtXVOoOiFCE8MjVPVbC293w1Gjhx4FM0t+yvNk0p2jvL0DAow3+Av
vzUKk8D5LnZ9K90VEbT4QFdvQGjct5rdPyISlV9RplPkJq41jNbXIupcM2vcxK+0B1XpNoHVgpsv
Es8hJTCRXD0jV3Bjle9N00JNqj+meHqqIOnUen9wxmzDAYIiZ94aIznwsndxeO4gepxmhNdB3X9W
zY5aVNmkg0ZdBzOzm75gnMEj/sVXO80drBTQis0iPTH7F9OKPqezZXjERTYHypCAwK/5JDKx1wNx
toD/DF3yUvLna1p23bm0Pb+3NsDOd50645VtvCAjjaBSq5UOhRTueK7uYxO7jzZxq9n2Db/jnQky
3B2jOaDo9KEJ9mp0xisLP80Xt23Kmm6o2mMgRh5m0KBpNbKu822esmw6OnyIVKA+wqkJa5cnWeon
YyyelbldJ1glOxHc5lV5YmWy7oVzyrr+NnQoeUXpCR9PdBCM0DISbRUTab/uauZcQa1eEiV5LRLt
tcSMDOblWKTyEHfa7Txobgp6sUjTMw7edZVW03G27V2p0BBI/NxVYu86BxhITXkVYuid5oHs53na
V3OeH0Dh4rr17ZUS5qk7BdDhzVFPtpVTbv0GrfM8KdXmr0/ePxGHaRLQ1TfTCyNe/vvnkzecNBzo
VgouoUqE16fOhAp5SkAJ9OmpzfTBtXu4oEWYIZabP7Syam6rKlEf5CzJJB/Hu66OT+rou4ljA4dq
t1VofYVJE+DeR3JPEAO5GZO6KWae6dSP4E+azXqIJUjaisWWLdsd8L7PAI27dRQ3TwLBmof0F24+
vvZVmq+Hat2Me61MKLP9fKvF9VYYPaFTpIdn9vuUZvc4QA4dHIi5SQ9Vh/OqLE6yEQ7DrglW2xTt
xBia64bcAcsH+hYy9Axott1Gbe6MqSNTM7QOaujwudYDFTeIhiq8Hh8hwhgQIOhjxCSuBiwVJMYW
ErUoOfclyelNvE8Gc2siVUcWUWE6TsAESACipJVu2IB4ZlCeoBX0eMLENUqHY9plO+41TCElTN5i
arA819ckTu/Q+VJLIzpxrVyJ1tB/cM3XNxG7fTcj0nLF9OoRwAwKsTFivGaTs8rDNPKASjq5JKkW
hupWK0meN7QXYjbdTCd2wDF2A+eQ3hTvhWOf1ErtmdAq775mzatSLJm57M+SNNP2SrmcZe0psq1P
Qk03qoq/GMrjy5QJbR03U8J6M7iCT9JcvJsLIpuAYjCs3RPko+EYERINCmTI/kZY+3sVEIUIu2EJ
hh0qrzR+z0qjuh5YZ2bgTBlh6/EB9Mfqrz8MlEw/lDp8S7huGgMRxDLkWUjtd4Yp3UILKZ0guKRW
DOvoiq98F5V39RDzJKTryKo2Tuz99Wsy2/mbV11+7x8Ew12ZtKWhK8pZnfJ7ZJxMXfgHbsVPgUHt
AcgpJqnZfLZ8fd93oNtxjDMdzIeFBRsV67yePxWKfYpaQ11jugEYNmifZWjYbqbGj8CFBjKDp6Od
Gi+Wn4wHLdWtjqcpL7xutnNPlkrlaiWWAMKLp3032vrnIic2jWmM7kVR9CXlWfUq1QpdTuDJbVkl
rfvOue+MhfSlgBcIerHPAnxlU/tOd7PjUnpo6npjNUOzEma809VQYWJChZIOeU4ocKeuK5i6bj2Y
AKqj8U6EOeLKiAggPWBX4GACafqvVTOIVVNG+9ogGG4wHsYZf4qaHMwWtGO92DojX2f12pILaXXm
PpnjIyMON5984eop3BHdTzhl1ed+ATxEcXaW4bjN68Hr/ZknWPWSNshYwpZuEWdyVc6xdOvUP5eg
rjGJ7rQCYJcMxvsQxcwK4zACGxYout6q69lut0oZsbHqijcrqM61mt1WJY7kdmxXjXbozV5Z9aa+
s+mS0cxoj/mEqMgHVNLX3aW0uCPBx+9rcE8SGc8aJh1YDWMblMbJhor1N4/b3z3jSyH+w9M2GJQY
AofxOT7lN8FF2cC6eiKbcQ8Y7SS5etZfxLCi2z7nr8Pxr19c/Dxy/P4BY2VI3LuwNWf54X54ca0M
ZZ7guD2XrrnKT2JdbtAagc56tjdElT1elfXpufeYv/dv/Ed6mU7q6hBt/ItOSNnf/DQ/Nza//jA6
ECY0ihZt1O/z7yZ1YFijxeElVG9wkUNdf6773V//xj+fWX98DQa9P/7CM9Q6JQzTkMv1I6hJt7z9
6+//p7+DzfDWRmWJ9vB3f81shM5G4g6Xt3JTEepTm9Scv55Q/w74DR6//96+33dt+1H/sXNfvup7
5446FuaCBsfrGwt0Ma5879z5V9iAgIXyDPF3kT+N+LEjaw65bxC8WLqzCv/PiB9Ag8U43rKBRi/7
9n9gMkaTxOP1H3PIt6U6wifqeIMVPT388vj88HnrRS6AzjjTlUVAs1GVNPcaZPnMC3XiPUn3ike2
1r1J0ILp5yXD/O5eRX5oygQ+Sz13qyhUzdOYY9HrY9jcHax9coGxqE16sxFayy6XTLMd0tjyVjCg
hZrfKkfUqua2iYtPzqzFa8VUv+SVwQ42nG+zqMDmPxTwu8oem11gX6kjmdYXLGmD0iaiocDGiAVV
h2QegBTOxC3Yg3TfZwO3lm96KoL1HX5D9D46pCQt6XJJhZab66hM7hjAfgxJdV/0EaDToXZrdUl4
GJXxEDiQkOfWKa9qZ70i52HVy3fxGbEZrHFdNEhuM1J7+4NzVg3eGh3W3hj0t2oyP2Vd+ejE1TEK
m1cVZSr5UvywM95YoslOXNUAegbzPJfyfcZ/iTs6qcDE98fJpnNgQ1+tlY5NXAg61UFTm4Q6Mayy
2PjIM22lOkPJ/xRHi6xzST2Owqz2GDh/niNx0Rg6e4Ms76IwIJI91it50+hSmbZKhxa4DHk9X0UG
W2HHlBoZlGWxFaz0VWfYChVbp+ZstHr+mKWMPNPu2bDQe9v09UijWBHkXVNC5Yy5uORQ7pyAafgg
jGfi686dogduRT/ej8KklP7wbcsTgi218IM3ipWvnR0Urp2Yudsac7HR1DY9y1Tc+PVk4Uhi7ljG
5W1Yz2+yanwADMy+w5TEYMx/XAQW3FvRPsVxcdupGd2CRSwFsXObudqY6TeBFNFNmnU7DsEzGXHO
qs2aY1C3qdsrWe9Ji8dVogNZgXloITfP6s5O88grssZARcqANqoclhbxDfObClmDdfQHWbt07Mg9
zeiN3cqyay3e7FGv6TWAFzUKWR/EihlsPZIEuplBQS+QMhCjVhINFRhssALiUWyeKdR9VMAZ6mAY
3tRojILGGWBIBe2SpG6icYdbcsReclv3V/mYSQ+x8CmzxI6bifYzcIA2NQ0hAMKEW6XtVfw1K6uk
B0ESxm48Ha/FqOzroq1X05B86eLuOc7IQ5uGm9joGMkH2QeH1KUWAfT8QV6AoqpeDNUCUlfen5yJ
0X2pv8cA9qinQqY50+chdi4g0+8ZT5BkYc4vadWqzMPNYAMVLAZXVnd0XDhri+pWBOwzAAp8xDNR
NlDnt3OHzkWkioVMoMFTHcDOCwOWKmwLPaQxz9Soz1q9JDL2rLnU+JWJPqVSW5CRVSBlw555xpn3
FNfKEV3lQToZZcBoelZYHnwcNeuu6Na9qdGDO8pLW03bBdVS1ETfDXZDfFlgf2pnwriSQHd2fYnY
pcmcbDcgEFhVoNCvIimk4laLXvvbbfDvtWhQRPzFtYjW6O1/1nU3/8nVyFf+cDWyyGbDLS0HbdlP
4G3xi67BmUbkRZf1TVT2faht/4IMjbLJsYmuJQGVAvL71WhBOFJNJtDMKA2YRP9oqC3MnysnvtM3
HJFpWXjjQBP9Xm/mMAOwAkIJr/kYcWJNFheFwGWQjvlzVOuSWKWazCeB8D9NbJxQZruvTO1rX6gQ
+bNsOAwpoUFZSM5Lq3a7oAhQ+rI51WvCIoq8A9EMyy2248+DD1lG60E39Dmne9r2uWdnJsV2OTk3
YZU9mjUf0wrB7GLPPk3J9BgE7IHV6NmP9Ycsi/KrveCbiwXk3C1IZ5VE8EMG5dk3kHolLO9kglZz
7MQH3A8mhEIZHvLK2SEpOMblOG3UMfeUZmRLjo+mKNN9qlSXHi1RYFRbU20I9TYRC9n1fQi3f1VP
xbkxbSaArb5NVCdc+0HzZcKpwYEa9NAIpnqtR+QWRtU9Ev1NOHJhOgYD8bqO9n1qv2paaK9BIFz6
oAK/OAd7f6Sl6sZsFxaR5o5JF0JTW8wr850faNOOyFnemi7qj2kEcjozgwvClwPQigU9nXpzq7zH
cepwsFY2s8loO8wDEDYfjJHSAz7QCKJZMAGbLpU3epBTYLSLL4aJNATiuxi2XdG8C1l8hczjdRNv
WVQteQxa8xaC1MaFgsnesFuIzqDj9GXbiNsRPkGPQSY1GB5NzU4Wzh2wkuKmyrRzNcajp1Za6UUm
SaAUYmI7C/FgzGAvkh4opGI+lkjmDlUf7xKbKZFV+fAly36NCmzD5uPYFO3N4Bdum6psHPNNMRIj
C8zu2TEaY5uPwln7C07DSbEuR/Z5qqZPosg2Ro4be5jKfab3d31DNqQ2Dx+88og0Ov1g565dsQ/p
q0qbbpgRY+ZJwrPTKf6J/epnEq0YqNWa2FNoWa+hktleZTOh9KacIEZ13pgJl2pNnscl6BX7UAZF
czsi911sgwgEeYOw/ZmWfJelHOh19ZX0bUAK467VfTJ2mR7qfv3iGDCbjSnfGUnJS6BVKjsUSgP8
lM7kLZaBv1WycH7US8B2hpgGJl/2vaysY6tNH2lYJa6WmHepz6Tfgt/JcP6ymFI1VNJeYhH7lTfh
ezyXzr4t7PdxIYLqEvq42YOULLTmtoWjwgfx7GN+de16KA9sK3Ae2QpyQsMLihmqSSDB048TXzGi
YMyHYNrEmv81LYkmqycQBVmrXvuwQ/LVIYfwZ6T8Ile9WbWqHZxQl8hknFv5YYhF45If8xKXFNGW
1banEFrJWR9q80NV/eShUA2Ai72clCVFCL3Yv7fTt53ropX629spffsz/vLypT9cTwLrtW1i/Pl/
8/VvnZv4hYE4pkVuhgWmR7/3n+sJLzbaK/wkaLC+kaN+uJ7QUgnuOphTS8P3Tzo37rPfd26sdLG7
0NWb3ITG7wFRthZoSADM4iokeddioftrwzSBaM8z3FCBhrk42aT6tM8z+gbyDcKXjKAAuHkbCWe8
IEDA7ipWKgo8Od9TDfJy0tguTumSOoAs62lSjU/SIbZJNhM+PgUgLlEFVu0jgibNlGRiEgyK2IaF
rAPkr+cFg5Yy+qPDMAfV00b1go62h21u9KDRQlJmTJJXc7VFqKA53oychrxkkvNk4M0+sX6Oaha7
zhpAE7M1GyfUItNEdC3dqcnGrGUm1quPjP5dO568QbSN2zpGsjg1a4LCzS8WvyckQL5v5fjZpuux
BKrjEK38PP7i4MX0Jh/QLFKJRagb7ufc8PdpGbNazEavyBFok+WUHk1TGU5+FFKn91m+NhiqRxWm
FfhBGsrv+IpzYW3GE2GsM9YGq3uoo8qiEqgeLTu4llyizP8G9klRtdErv4N8ifgsV6BkDIZarVld
Q/OrunNJ57NOpgJ+c6/g64MfnYunLO7vnNjn5yb+aMXmaGfrCHinJHrvNf0c5PNlFlkP1woRXhfX
SNIIb6AYRq8KJzeUaJlVboUggYQ1j+26wIKP5hWRTkkmMnsoax+31m3i09vpIEJcMQdeBehlMyjF
l0owthdqcxE6FKUKDjNWHsqMq5Z2R12fORiN5lj1PDN+19xUEaG21Bcgn/up8wx6wyYnOismQrTS
z7YZonABkLjmhit2iZa7Sals61i5ScaiOc8J0hyzRlBL7PWdsMTZKVMwO1M/0nIatBAJajUda88q
NUB/xYkK3XnwvSZoHkY0xhuwSefA8F+nqif3R5FbHOSWa7bqk1FVr3TDtqulkAKrFv1ZFNwCmT1p
Y+bOwXihC3ivrYEoEi5IrlFrH1Tgi9mKn9quuUZFUym3BZDy+WMa02RnE+DoJOVTsljc+xl5MXLi
c94l5SFunZciUe9as+bCm9Y1uqlyDjZcnm7ZDAenVTa1KtgIhpeoKA5j3FzyIr3p8yRxufWwdPod
YGrf/DpbSsdWYdDRG3W+jQou7+d7Yc3noKqbrQbsbIOTclwNusXrwhdMSU1B5exNdrgbZv2mNl8a
BTNx1jmPuYOIJw6OtVi2Tq0JDkBnmDLfdLPY+X2EmtDsbjns6Axbl5EozoUo4Omr/Bu9adFq6uz+
4cQWXXRHAb5Ypu/nEnWDVSPBCkewmII9OH8uO986gaZv6glWgp5Y2zSIggX3y7EkQolgIV0yRnly
8pLQ9VwTxgrI0I0clU+2kX8tavUdPWGyNor0CSHjCdYW1u2KSCtzUUiqS01CvfZZLlUKDpBztNQt
k6reZEsl0y01zUBxoy9VDiqOj26pezJrvNOXSkinJNIojZg3fZoolSQlk7PUTtDscC0s9RSxIs/5
UmHhoN6UctqSw+iqZX3jUIqpYM7npTYzKdJgPrPTs5JdsdRvKOseZee7vHK/1h3jQVtqPeJIG3de
6r9yqQQrRZzHpTZE83lnUiyOS9WYL/WjnYqVWCpK2l6BQ2yxwlFttkljrJ2oeguXSrRdalKL4lSj
SA2cLxElKzv0u2SpYUHb4++gqm0pb7NWbFiq8FdcKt9yqYH7pRomPnobLvVxtFTKEyUz2hpPLjW0
aQaHlKI6JCqDZQl1trFU3PxBqb3FeLfMvrSMjFVKaxzHEgr8t4pd1sF+ZLLhK24i9WPIbHNJZn0l
GCbacxyzjKT4D4xxo4SQu+kKrKU9CEKrAwpOywDy4UsicDsojb6tl7airypgGDQaDJLuOzoP5pKM
CvVq29GTmEl5GZYmpaRbCdrxTp0Kj1T4aWPSzxT0NXgChodwnrrNQM+TOOwRGtu+JRo39uYlAuff
eupbPbWsI/97PXV+q6OyaN7+2OsvX/e9mCLMQl8U6/T6hs34morpt2JK/QUqkY6RFSUpPKwfaymH
Pp4K7P+9uT9Mwe1fSLDQVORmzMZsQfjEP5iCM1v/Qy1l4HjDp2bwoeTHWGqtH6bgDJcSYc8ivGYq
ss5ziFXrddTUUJI2l+fBTQEA/TB3lfVqhcbAlkYhp2pF2uTwUs928+SERnHvOJE5L3b2gcC43G6f
G73TwMLzMWBahWvLiJSnUYAbGwNaiVRwxInRupE4KrtAu3Y9YKZ0ehuC+U2ERMOz8bQaSfwQMSwi
5e4VE6pRLbG8sYeJqdQH1o0cwA2zUhQ6sCLU6S2pama8iFgxdgVLrB5utYn5+dqx5BKIh0kqZ6Rr
ds7eCGoOhAFAYGbdGb15l0WW5iY6cgl/vMx8pF2n196qvLovdfFKScHYwq+HTZ7HHbGqM2HikZOt
EXfR9Romnhf71Mvmk8hA6lh5egL9d+xCEr0qX5DL2ti0bnWABnoo5bqckzuWAo+VMZdnvaadohbT
8PQgRa8BZ5L/s6iXU4TirY7Ca8yD9ESv6s12+Um38Pg0mlpCPag/5qaeGHGMHGJNt0ubeKsy4tOA
55e2HcOnd9aGwakphdhAJme0HPMeVL42rINemrso55+MfuxWuVM85WHyDiX9VhrgKcv0i5aED1aB
uahtY+NEHvYelfVtVC6YadNm7JEV/irAHBsg3lwXqXEXWtaDUUPXYTn8bhX5EZ7HXTlJtEcqMc55
bhOo2xcxg5LxmEfaumUyvzKKfJtGCpIioyOHWSNJqMqfYqtB6mEN0QaQvmeV7T3pwMNaGZiOhqrc
GJXdX7olo8OeGtmuamPfJlb2hEZtdOuku517xM/cnJccyuHiQCRuZOoe6yn+7DMC3lkhI1zTUDd2
LZ8Z1H2y/WAtau0tzSgAxuXHUPs7ZZKbyp+vaRIR1SA2jn/Dw1oAU+pOqZPczJOF4ZJYiBx84Kam
6l0ZpBfs1XKC4sBjp5nxqRB0BkttHiryWbEJSIHPisEt/j/2zmQ5biTr0q/S1nukYXQAbdabQMwR
ZAQncdjAKJLCPM94+v6cmaWUKJXU+a9zU5ZmJRKMAOB+/d5zvjNCfqglXjK5tMrsRLz4AWrtuW+c
atFKC0Bgm2uW/idIz8R763dZm5KjVtBw6MVpikhEpnF8UFx0SH0F+d9vbtHKfxbKeFGL7k33s1vY
HDuajse4T+iek1nstanbkEnMffDj7DXVyFWiCLYXzpgimc7FiQ8vCD0LH6oaz4qmZifd187M3teV
m3xWFN+j0aMu7BBldWZkZwmRg7gfHuysze9Dwbw1ndjTFTVPDwrgP8+S6Z0+jh+PKvJ58P1k1U7p
ldb4Dylx1R4HyBpBh7l1nfmY5u1Fp9Fe7MzHQWTPWEzJi+Wig34Vl9Ey9UkOJQCzoSlkGubWKGFZ
weC96JCvENDq5OspyRlaSec+HfLJCvdAbIxDBB/mqgFc2uzHXpMqs5z4Yt2Y8bpXyP5i577LKCKC
ItMgdiG5Wlep2m7QgSEryotiWY6mfh4nc89wWbsMebE87rkFLw9+ndXX3JzWHu/nChBJje3yEJux
RbZVV66GVEm3Ggr/Bagxmyq08QN10Ys23LaKoVBHIm5bTKWqrZWYM8u/2/SfUvNfzqrlNv2ThADZ
NfjPHo3JG0gkMnOUDn+ZvL/u0bjRdJAWtELwD7Hv/r1JO38YuopHjfGn+5eH7T8ND/sPSa82UZ/z
uJkIt//JJo217OMmDaeDGE5TN+VfwS/8fpN20LETg63OJyMLP1UGiUgpk0VS9iq0SXO2phe40YiZ
sCYFAZT7CR4odpYO6GzmitvYMS+Mot1lcbyCbeo3S9vO8OBEKDfv0sKFv6GrV4GS17uWqBQy2NNY
+QxQKCPqWAMmdbBpBIzAhMkCFPSLt02LAjRjzHalYmohgFfcDInUAfXTybWAc4y5sSxDutTVWNxO
k/IJmOmdQWjSQtVxfag1Bz1lOoWRs+c9WBJT/1LPBpUtsZRBrF6XsX4mOOST3jf5MuTlX/itVBQy
cOj8/MtEv2UR6traNzHlkFNorKjQT3Rrn6uUOCGrN7olqLjXashmJhDIY93RWQVqS8x1EWpEhwqb
TUQxp90wcjbH/nPQOvtkJOR+aOFhJicTa7ONfSmk7mBOXfflfai6jwrkIMavxlXCYLq1AM5GwCDq
eL5rKQ/6TisvNX8gTab4oqsaMqbo2u1KMquM7FgGGWF0EzGSrNdF/0WtCa1SlYlDvmF0OJjwtigK
+XcGR+2qUSD9hMIjbZNuqo76yUIiRCXE4XpG+e717QCxtxi8VoYmFDGC7kydlJWTJLOXj6VGa8h+
Cadgnxs41vDcMr4cUWU7Opkmxrbr6pOfwsAz0K1BP6mrkq2EIeSmtaBKL5gu74yWiW9jXbQjMEGj
YK0L835tqv7nhGouSUdlIQescT4+BwLxAr+TMsBF6Ctp1yF7SGgozypdI6/uGQlxnvU0PIfwEAEN
8cWuHLXp1noXimM6GIzCczljoQGmt8TuaXqAct124+VcE5nZj6CwRGoSVGOzm2baBh1ou055/gl2
dIhdMXdK1XxC77FVO/3T0HMmDMJGXbaNrqGT0uNjmRcEQIElwcHOgu33scLQOTY9WOb+ZtI09bIc
Df0KvjgJVkm/celFY8DcZwnT+bHSnx1DWLjVpugEtGHwXPbEyaHf1tJJ0qYo9awh/zw1xVrvo4ci
YNLtQlQOQu5nzJ54Mk1g2mO2+ebs8RObyPczO8Z/OP/ph9JeFZhRcLh8v0aUxkgSBlGLpzS7S8xX
i3DV34lMf3IJho8C4648KOiqPEt8c1aYymBs4kiYp6T53CXnqbzN3eO/e9T7HiVnrP/9KPlIy/nH
Y6T8ma9blPYHtxheoObCtGVL+eYYqf+BkEm1MEfxQvOf325RLvRbjpbvZ0aGuX+PjNm9sDALB52V
wz/6Z4gSBtE/blGqMA1D5j8zh3Y/PBssfliS9Xg8la1P+B/UM9uvb1sdX14sgWizlhfwArT0xIud
3TQSnAY9ott2s695Gh0KVDXw1SrTuDRsU121KVvOZMf0sgTsCQlmCyG0uR2otmJi8U0kvg1BMnzT
DGChS+TcrQnlrVY7Bndw3/ooLE5IWqoFmePBtRbQnutIdVwFPci4BrVpJiFyaWp0mxgnb0ncrgFn
LqgAzo0SPSckhC6VODoTLp2iimHrQqojPzTi7DYUHJfB2LUSaKckOZgpvoJTpDk+rLTW3VYFnIVg
0Cmk33UXUoFByigeq1yy4JBnFOBapUQ8RWOUHTskHAlSjkFqOlrEHcQMxtTN5V7tTDKSA3XFerhP
EIT0CEP4Ni8KqRQBT0tcg1SP5En4ZCEnGYU7LtCe3WM8vq+tHMCD1J74iFBaqUYxpC7FyGlmigCe
oNSsKAKNjFSxjCQMiZoeOLbrbuFKqUsrRS+hP6iLHB0MNxo2kyhvgIhfmihlnBn/k5+WfBLj1UdL
Qz59f0ykvKbGZQpPxrk0kH0tZn++tApuaVuOywp1ToJKRzfq+xnVjuKX9aIIwz27yklIYY8tJT6a
FPsog76DLmxxHhjJqEQRhHoCiVVmbgVaoUKKhgopH7LQEZXBfGWiK4qlwEiRUiN6zLgOpPxIOFXi
nIwJldhnlaJv2tktYZSYrw5MXTDY1xpn/9SqG1j41puCPTXqHGbnyrQmT44DjPTqq32676V735Y+
fuxUR8TzyM77nvOURKIEEo4yQUlxKnAp9GD165owc6932G4RJTBkKGlOSNBKlDE1KGCvqBLCIpKZ
L1mCWZQJREsgYS0DLzjVSLol/Po6lUCXPjJ3eLYlTh7YSy6xL6TAocWW/QOJhIGonC11f4BeCC7G
gBszTfo2kiCZxLJua8gyukTM2GzH7CaXKM3A5JqWoD+BisuGTKM4IGqwchWLUWJrABqK9VibN71E
2vitdVQjfBWuxN3g+N3XaQcABxIO0YvEXBYRdwlITmo8NJp/UoaAvDUkd/C/Nm0lwTpuVm+wS7AX
42lygO+EQHgcmGutzmtSljbNgCx7KkMOajZ5HIliO8s00rQTZaux9NEOX8dRRXFjkuzROf5lXym4
1F3kd5M74wGQCkoGWEyfxqtJQxA10UPeQx53aBDp/latWpOuSWFupsB3KcSqZldW+SEIVXs1BZ2x
b0Qw76tYUzYmocCrAh2nUIiOm5OJ01/wUCqZcdZjoJasfslOASDmhcxCFIPuyhj4KxGXjxUogy9N
zuAk5DW+suP4bY7nltrapbr694z3F+Lrl6Pti7f8tXiJ8p9sovq3g20dXzDaYQeMLu2c73RXpswc
RpNsgRw3sQZ/3UTfw43YXoEbCnYH81vdFdhFFPIqgC8NffM/aMQi+/huA5X1m2XoNq+yw1GTwAJ5
BvymuLLhajiZHignTUk9IKXME835zR+whSZWKhadoa6xADJbCrJ0Q+BWfe3WmXKl2z0SVCgauQ3C
18Wj4eK8X3aNVt+TRWpPL5ZCb0yEvhxCYeGPK2nrR3LEoBBpRcM5doMIrF6M0v4/QmFd9aXirpG+
PORlor4EFbiASh/LdRGCEBjQhi96iRVoC/6tIVEDXaLXT0xzwQ9IEMEM538/5PY+jmuDKV29I8MO
pwr8gk7vPjNtoush0QacFPRFKk8BUA9Il3DJYbRWNIH6S0eiEbI6DlYoAZiLTAxrJ4lQqBPMIyQW
sKyRNeLQjF3oErkwo6dBC9Cc4yanJza16SMNzulG0+4js4lYhZNL1otwyVH7iheQdRG+AzsB5zna
X0NUvjQMFoXD2dlsgaM5Eg9hS1BEC7d8nzPiopkIRoJ0VHXVvLMlaprCNM0ATvQl9lpui0JAeYRW
DS5F3BaG10bmvpJK3qQvxquZ1twmBxx1NUK2KCTiwpWwC/+de5HMc7SmzQd0BQQYSTmxJGTUkpUx
v2MzRhBeSwJxgWnEYTiDO8lL/8aS8Wv9exIbD3a+y+u+p2EF5sIXinMRmSAwFyBmIXPxw/mFVnX+
ldaFj2lIGk2Yi+egxhI3QFhf0dZ4TLQ2WPlt+YVWcuahRz6iLSJ7KZ5OKaZDYp2yL+FsLfEitacJ
tgigaSbVZu2wrOcAopVe7Oq+svcMUzWvj6ebMIYMwXq+MUP+x61Jcx2tzlmY06CjWOvKgT+g1Tum
/nWPtvqit0plPxk2cBMjNc7WezxXjUmJamC0DE9vwEdSOLXHunKJlOZBA79LeFBdWdVBmDTqlKIg
QxmHFG7KbgOe9EkeG1vUgYR1jM1+GBmZpn0Azcv0nUuwPWslc191pSFYMbsquu7OB6PclDZmOl0p
Lyclmna6AD+FImqrWBy/mSent2rs+8wQ31plPEQprkPTPk4hIF87DjfVOEGZntd85pMz5UeLTQ21
w8HSomMWkjMadZZ/kTtEB2dQp9ddGNyE0xiQKpbuUJdtk4qb5IT0ewcmzUps+wvyh5+DbuANFNEJ
NRYpTTkNV6XtMw/YvKeJdOe21sqpQaDXzmLAkgtT44uwI5aWbM3kZk0SDYoFTqmBTr+Fo2tYxhC4
TAKC2M408hbDFvMZUax3TqqedLO7E73qINxwC0HyuSv2vjN/Qe1xbc3dziaaxsiylWiJjFTD8WAp
iRf3/XMojI2oe/QKAVFBFtL8JL92Cv3VTXiHs9R4a93p2lRGsQQ0jXpvhptpeiX3GNckpBxqQOyh
qA3UEods9jJP0y3VIVLpJN7VXXiGfn7KqAHYZxFRFogUCgbBXD611KssHy9RBHo6RuLc75aUNYtw
VpBno2bAqZeV5IU1zGYtacDVoxfhdF6qlFsFeE0SUgiUxSkvVWeVq8UGWi3ChC4468jroz7Yjgjm
skI5Eju+Zuj/XHVwvpPRq3hFMJ54fq0taRNSMKVvdfpW+N31CJ0gdtTtpNIGGPIHC4FGM4NQNbkG
7RbT109YMG+aVqwZTZGZO16bo3ubxrOOyBGWSgGfMTNrz/WpqUlqYlyuImzKvkyYnVjh1sSAek3o
LIUD5Sdowh39ny1RKA+q1tJGd26EKB+csLkO+umqy17zqXyrVJJ40lHDYAG4XZTrxp+WSWCuQnUi
rSq8MkhoKHrjmoHCF01p0Twg9yekolTVreL2W6dRGLmnN7FVHFtLu2N8tbAJL1oIq1z5CloRtVvz
Kl42rrPWjGZv+KiuxmoVlHxhKPyXReXncH31l6ErHvhVBNH7NAcbkNe8SWDfw8GDE/zc5A1NLOVA
NsRuVmxkFRT6fZ2Q8MMmEZY+EqNwoigU9kZv+/usy59aCFRTae8gbXIWggSFWWCbUw+rY8b4zXIx
TvcPQ63eF3V8XSgaucojEwWOhKi1grzd2q3F02lvMC1eIVw5lJide6W7QTO2dUb/5MuYVTPbc7i8
QMLrcKQjQiqdzkRH7HjBiD1zruIayqU2PpYCEzsnVU93nTu/FldN3ZzyxrqGp6Qu4PUy9reWfYle
SzqNcis9ok2AHlupiyENLmq5UM3Fw5S0B72GiV6CzaO7GVN5NoNsbucEJ+d3dTntNb04KLoZnhSf
vl1Ah+qmaSBIYg3Y16qKwmqgl5iw8cSv5I/fxW1GtjGO7YVrt48mPAgdiH6MhjuJtFeR0S9rq4ek
DndkMJ1Yb6OVWic0oJsDTgLeyxSj0qxqj6HVlGvXSG4z3Ci0gpNNYmjnOHFiJpb0GovBWNNL2PqJ
8AZdyVbRXHg9MBM7GEhknXQZ/kr8bX4eA7GJ/XE/5tNrqQC/aOLnFi40iGG8jz4n2ri3V10XrOpQ
yT3C3qGIdF6WskmARNv2ivPa99YaEPEm6O11pI4r+oCsPw2528E4r8csP0wtKqHWui0IIOfkSrxr
wwyOs4oSDso+R6xTqmhAENTWWoFEvL2YGYM3dfnSOdLLD87QT8eL3qQJmqlsf9+0hP6/OnwW5lBd
IGuT9tCPnsx2qOu6i3LlpGbbKE4WRXKtIOX79UUkS+ZvV9yfZSgOVNqcBvAoQ1Jyvy1DIyVThWVq
yml0PtfE03ePI1IbA4FY+Jsr/azg/fZK8i/5puAt/GLS6P0oqDgvQ5ORmE0u5rwrxKe4e4rwP/36
g/3YvOTb420CocPAj4HO95dD1s4ZMS2Cc688td2hCl7y9OXXl/jZJ6JapljmMlgVP1zCF5DH3KkM
z4RAxsOmQ5KahjTlg03EvEJvf5Om9pNPRDeQQwsdXxqy4sOJoc9Fo09qG52jHOu2US26YFMmv/lM
H0y68ljy3UU+GPAbX2kt4XORGMVEWx9jN1z++lv73ceQ//83z0Hfzoy5Yb+d6/ICKaKXFLcov35z
EcZ0Hx/r7z7Gh1tTJnQa+qyJzqOCZM9CUnY2o4YF7tFCwNGc9K75zRV/9rFoSoKzwz9qiY/u4yRy
cKbEWnS2q6tKDTz0Wrb/5Z9/dRDbAVQbPAekYn3/1fmWoQinr+MzAv9VJsDJwY5N7359kZ99dURx
McagYQwf+8NFiiG07SgiKbMuH3NxDDkpxiwGrn8Tdwezp7vqX/36ivKZ+rAGscT9fcUPNwuog1uX
2hSfVcZLfXMPf/s3i4FEj35zCVrlkL9sgo7BfZuYrT7yMmj6hEk4atk5PjL13LF5XsB7XFlX4bXl
ERm7JgJy/etP9f0l31fW7z7Vh/WO0INshMgbn3sB9QF9ie6yKBTbX1/l598dYi6VnRMB/4e7JWak
+S1oi7NfuZ6uHWSb9NdXkN/+x7uDrZunDRq55JJ//9CVjR5pE1jAM0aRxeToVJtPkRkwt41/81l+
9o19e6UPCxxTyaJGthKfNestdK4s/6aaf7O8/fwSRF9oLhQ51f7wqEVa0jvmHCTnPD9ZDCHGSF/o
nfjNVvezV4iH7etVPtz6pO7Ddgq4SpS8pAp0G2VVm/iHOi9pz0qySa3f3KMfPpbOMAgroIpgASWC
+UHVRyiBXWY26uq231T10yBW1Xz968fghwftwyVos327bOekBRsirNLzMOe0x4PlhFj/f3IJvCaA
10ACGB8+RTyOmZJy0jo36Ysy7xCC/eYCPzzKfAYUlkxN5ZAM2MX3n4Gl0x60HAE2dV7WWWjjdhFK
4tx9e/8g/9ph5azxv081L97ql7fXH+ea8qe+zjWJjpcZCdbfftev0hvtD91ENevSD/3LUPS310hQ
CdsytJRu3bsN6T/SG/EH00HDRtJqoJOTUTj/oC2rv5eFf6920grLVJWKkZEmNaP5seg2FJ1eSJUk
J0012xoXQ1SqXtRnpnIPos9G6SFQbHpdFVdXmp0sO1CKkE22426n+vEmz9+zsmkFOp/o6pAsEPW3
JNbWEOrTInzwiShFLwbbd6Jw9bLGPyGNiJdWnLXbUrcAKw3ZdZFMp1FJe+oV/dnnQfasOjmU6nzO
xciczK8/jXAJyfGd150zfprV4VWU9nVpFPwCYy63wWghTnGKrdm4V+SiYtWt9RVIA3pImipWJT7+
O5+AceJjEGCqExi4UTsReXU1ZKDuxQSnIGACRpfY2fai1EmKHLa+0B/NEkzEUDDF6mO0PUVR9SuK
iXhbGhlQQSgKCA19AWo9fOhwuyxzq0w2gfTkzFLpZkjNGxgF5G+DVMKh/uAIXL0L5MhMBBopVXNh
qJarRCrpGNziRJDqOlvq7IRU3BVSe9dIFV4k9XiBhjJvQqJXSa1eKFV7udTviQoiERnezTp8l/cx
HcI/huTPl9q/XKoAAR8D+JLKQCQviARjqRf0pXLQKWtOfhmsgIC/Ia+ivWkTNLEjAEBJ1vqQwOm2
E+2zVhnmkmS2hV3F8UXYd0weCflsEdCEkIJlrvJatbIrE2Lu4I1TAUK7Tt7SoruvmuRYqGqwzOxh
k0JW8LCCX9SuctFANFyEWbS0yvR6DPN9qdePupIc4wEyZaVnt8xuh1Urg0DK6qwH9mWejV0L8NpO
ztKspa8MozegP1thPF9oFnNBlQCmRPq/DLP36WqHuy7z0WhLl9godGeVzcHL/O4gU4uCwzYd0kJq
WC3pNAN4/kLnGT8CxClvlH40IxxXnTSoZZi0pWNtanOLPlkfA/ygdQ/D/LKVDjdHet2gqkcLFfvb
GPEvpR8upNVic4DyEpW0ztRyE8+R/jkGpf1SxVJnS29dUlsEgZbAFVW1PYhoRB5g0bqO0kZZqJn+
JEYNjMpU3Az2SBNjIojTzxsbLytla+TgxFZJ+sER8Zb5wWtaIBHn7fLaeIJqR2HTWcjQpp5mOFIC
r2umbFVodH1pWLhrh0df1UwSw9W6BctutZRyCg3hAU+JXST7vGmL23/3j3dVjFQy/vf94wZCJDVe
9+MOIn/u6w4CZ8ikYcEGgkJSCln+NlgYf1A4gO+UKP8/iQl/7SAmiT94KCzOTiraSjhFX5UxzPve
txRUNtB68L/a/2QHQa74Xb3MDmIyabSpXpgdCv4UNr9vCyV8EE2X1KI4j7Vqr/PelIoPs4eiPWxD
GwF6P0k6jjqoJz6EelDhDLLgRnayIzigeICh3VxwhsHDYxgVhy5hbq2xay6HxC9fkdtkGzuF5xOm
NqR13EqRV7oKsvBMU8ZzU2ftiYXIfES+0q41nyrI830tXc65n18mQem+gvO/xt6HVkXTlD0oE5Bn
jsjuWmeyHpmZ1DeDbnUXbRPaO3hCIHrtjiVPswjSNDq1RePX6G+oO9MHS03zbWA1iEhLv3nuOafQ
QAarY9fAdux4qHFF9OUV8/IVioEWH19QLvtBMwmSVHKzfymaIDQPGuzaaVy3RdJttLntlDdA7xJH
ZkpofgW1pT7ZYQmaHSx3yHjJVZjiddRxc4sFbbgkebcQ5BuZoBfWRTo4NgtKXw7K0mJEGR2EkrO1
RB3ylbjXq2yl8267lT8+iiE1nklzt0Dik9W4xqhl7aeOoM52KOZn6UnG+6tH6oFkIsIMAs0FO94H
n3mSIk/N5/nZb8L5jYXpoYZJmgfRXrHxwWUaQqbBqpktlEOAsV/r0PsQRXYIGLcck2KE/Na68JNp
SSsw14YgWjdZC94NtymlQ1Ldm3YEnMLV7oykCrewCRnTSAOFhUZjK+JG3Dhhme1apXXvShVZ5OhW
6jLTpVYfaw+tlUbN3hpIpp8Vm6YmWmI6+GN2ih0NIG7bj5tegYSBVL1iqx79qPxiEwaxm0o/vyaS
siE1dBZPwazZy9m147vRT+KjjcadPaqKHzWfZE2kHtOxSebice5G5cDDSy6TnQ/w+Wv/wZmz4S4H
GrnqijG6UaKxPId9SqQM2jIsIqbZ495pTI2CwiWjpRmtBg7vBE8nwACy1Xv9jUCYhZkae3scjCv4
JIyS1EJob2VRzusqYkjolg21DZD+P88M/9by8pD4i7X4HW2zeK4//xwfwA//Z0HG8UbXCyo7hABO
bioL4teSXv0DpI0KCADsmqTDfVVZGNYfcglnoRQyN43j69cF2SAMXuiCKb8U/rGK/qOS/vtzK8ux
y3GDpineOaSPwpDL9TftRiPEG9kytL4MmcM2l+P4+M3Xcv7zaPC/UOOdgU+3zf/93+aPeAKqcHD1
lkGX2YUs9+Fk3PmN2fqs0JfdbK1wcH6ZSvMy9eNrq26/oFEn4qCOlplJ/K+m5DvkTtu6iledTRSj
UARD68HY5Db6yEa9jbtwTUjgqwKsnY7RsbNIiW0IJFjMYXrSes1KiE1rK+MUMPEfaGDgGOJLRDZY
ZdPaKKYZO5lq7Ubq6i9gr0hhyEJBZRbZS9OM0ldA6ISzoIRcmahCFrUaKA8xluWlm5gvXQgfu9Xs
wDMJSjsQAEN4meac7NJW4B3UD24dGCu6RVBLTBPc1jgAhdELdpoagfhU5wck8E+Jrh8tnfGlm03H
AZ/SNs2LLQq0GZtvdetb6caYI9ijgO3mOUdqORD6aY5fskQ5taP01GczZxvUDwE2MDvOMBbhZ65I
C1aVbV52+7ZU6eB109WYgJyeCSAJ5nqptSi+bPvZ1zDUtVgX4PouuyR6bhv0MI1tLpiCbAmKPynM
nqj7ltCzH9EW4BaySaG0jmZeWdCP+ouU04HAaVCXhAAxCCQ8wv0UR3O7nZP0XPuo35s5PLSR+lhW
eovGIN6binnbplSj+kwQiTGbN5FBjzZsxnDVOdFuSgEfWTEDfj8WG7WiJV2I5KkzXQK0SeMCzr/g
MezXITFBDHA9lDH3JqqSIbQuUT4+Nu18SiJsdxmj006WAmZ/QTTGrpgGskzj+7BHzpK5AziV4Qit
/kZgAAfwnt4T5PuJ1Rp0brcuarF3ZmutjPUTkMKS6Ze7UYzmseDDE4s1bpRpfk2wczJq9WofklMy
Hks41Rj1mOuDr+GXOo0OHghDoLCfeAvWcRQ/Br48UWAYWStdx2NTfZmKeOsAfjaN8qmr1UdFUW8a
m9NZ4sdL3CueaqWf58S/SjLM0dgXjkksx4uMiYmutvE1k71XdqFH6RBT72efXY2DhFKGyIhm2yLm
o8n3USQgzpQgZyxxE7vmQ1c2AKd1ThlpKd+eeLhRtfigdKWz0CuYuFaFpZ8QnOvRQZDTTV16IASN
0B1hNCs3xcOhm5G/GhpxGbS6gGgkPqGvxila+czKXOLDQ41o00Vf4h5fZnWP7SSbFJ9wg6iPLsc6
IkS0FOrS5atYGEkZeLhvmazSCFialIKktSoIn2fSvfPWT64LR0Bvyzr1UAopAZn0BdrJQ9uisjbL
Zpd3I8pUAwmqplfNFklsvAqi7ijAxS2apAQGPluEKc7gRkZdW0AkLlcFsB8O71F6slMVMmKqNPgk
pQTJL1+sefpU+8aznVRb1reLONQyz9WQJE2pcvQTdFtaqqFlEtaIh7DIbqj6kEVptp/edwg7hp4z
LV0WWOC4TPXUq2NzyTizWxZlfrArmwVR44+2h6u8M5iK2BJuMe2Dyt+mRiXzjHDHtkccSMADwgs1
Ve9pn3qUmfvB9VN4T8mTGfvWoolab3B8cdBQ9CB/jezPVHe6N88VYi8T589tomVYciJjY9jYdA3y
rbzQmZMVmUv1xewkl4ZebhO3udIqQcxug7IIqQDzcOLYNUbglO6rwBD1Lp36O6GUt5meeaisu3TZ
IDxZTQO6btacbj+oonjKoXuy/ipgmUMyKjvYNFwOiHOJZQIVUz15U2L3W1KC+w1KgWnD0g+krOIK
epfe5sRjLkFku/tuquM9zAqi5i3AKnjLdyjsSNkq7FviiwAtm7HsRehNtZxMn3T1pLoV/nTroM9+
mP08QihNyqCFuXphD9TRVJmbUu3zDZkZBQZsCuW6t7qHOkqd9ehM0exB1QAEYYbt1uxzbvFQrg0c
q8spKx4RwhNVGa1He1p1TXFSJ3ufVNOdGsarHq7kAiXbXZfqt05XucRNjP2uUOJ6Wfjp5JUdimRU
Io/SPLA0RrN66KA3LsuCpk0S8qDbCMAWEAwe9NFtbziijGsIFy7ZVOq0+vX2zEHx2+mFxJg7HBY1
okM4ENI9/H77R4ImDCeI88tWdtlG0M5iuBrq5jfDHtSfP7sOlkJLEp1/LAJaeybgOMwvMxIPGqHf
sSqdsSw9sVzWi2FyuQFTuu1RVaZOsm308EhOBjbt/MBKdbSQdMcYsUMEQwLpsRHipncJcQr8N+x2
tKh4BcyZjBM1eP4ffEMIXW3mBhYzkQ/nVSvriohTSH45EOcSTKjb4H8Xf/p8Xsb/E7wVP6mSXNla
/7uv+k4xdJlSkdHDN4R0/8N94EhcTllC8FWJPwuevLkzChYG1a/YN5BqSMXQA0FVxRXDwOXkqrvB
GeCVTgSr+oZ6NccZcp+5uyJgzr3J2ZW6or/EUZLylkB/t/QYN24RXEYEtY0+LI1B570RGaK9STL1
LC19TtqUiNEg2swDyv5GI1gG4xvIc+NFqfU1CTZowYxKLCbTRUBXGZs4rBMsCSWlTShIptDfEPs9
j7a16OiFLUY7vZggoCxse1K2qjbEFyrnscU8diF1E8CU0I3h8UTBJ7/TsttqsNg/NEAvWYk6BYv7
Vmiw1wu2OE0CoGIbuqqqnyzVJuxjHgPW+/Toq8+due4se8e6+OgoKfwUMEkTp/wUmdYqx2CyKEW9
MBR1OZuUHiOv2dIOumI5Ktm2blFbZtq4x97+nER6+AKYZqOKKlvaaXihFzPS+aZak6yAbwL2SSZE
SrCMtiARYTyQnXfx62eOac5PngfZoeFxIHMRusX37yUjsYIgFKu9tDX92QBKs5xBIF8KRPmwSsMn
cCicupvQ08QIxijFKmKkF3wrWPhCokMgPlwQUAuSSr+wCufBMPOQw7NVrbtONXeZhYYziOjB9k7v
EH1iZludTX05aFG1dGqFeoSFSM2K3Ius6obWJHaesEEaRldh0ZaVdNuuRTa/1IV4prNkeb1W2F6d
6XdCn6idp2AJT3EpYCZ5NepHcELiIXYEMDL9FWlIggCMZYCEP5GPt/hIjjaBglVhEKJMfB2zgW7S
b6y+v0ji8IYQ9OvMdjdiah8wdJq4dQp1JaqOWpAGe9PBM3YsYIEGQTaqr7NzCOVZ4Zmg+2M8aoby
oIVkPlftbKxC9IH9DF5BGQsUvvVGVeOdSwY5HkeExP3STMD1O85wsHGSDhrnbw1YV5e2t8ZQXrrO
uGuK6dkYSIwz6uccxLE18XcSQJOQ2UqY6tHOxXqABxzaUexF+LF0N7qCdJXsJmdeFQ0i2JQQ2JKC
BrYo5xJexl5xr8io+QJn0AfhQNQuYNC27WCaka2sB62naeIooOKgbuEugfFd0T33BlmhJl14VDR/
lWgDGVBoRJXobIVwh0OMlwmYbXZxbL1bR0MHXuLiD5jr7UxzqWnsmqk/rFu2dwJw4WjQuFimibKJ
B+cwo6yyXTjAgxagpSPRF+21BuoQcsjgnH1H26IGpPdTHZEPUvW2qXJKS7jQU2rvzWA44DKtGHlI
unGJjH9Q421YDhdKwykhJWbSoJ3c2bnnD2dhrWzCm/BHZeNakNFobuFd3Zcq3axMvRAWZOvRN4+E
7ID9933/0Om97TUYxJBEkvYy9POypG7YFhP990nYW2y2jB4KkB+4tklxqLXfbG2/eVM/TmX10J1i
t0w6gqpJY2kuUNh6IwQnfzgl9YXGieXXa4Mcjn/cKb5ZGfDSf3dg18Mw53TBylAUb4QZ9+M1SeF5
8DCY219fSKbC/XAlRnwm6QuODQ7g/7F3HsuRW9u2/ZfbhwIe2I3bATKRlpn0pjoIsooF7z2+/g2U
VDpFSiJD93VPU4ooIgFsbLPWnHMsa/ovpYGhafsqlnsCYJQpWJfR2LjEVN4aIKp3YSEx5sb+UJYR
xG4yeC/sBUlqxoXEYQKX28DfJZdF+k7F+QoDvI3nu7uXouJcyNZNyvaNU4/bNurNGJCsnbeBl7XR
lzzWH6QwLa+DLukRO4ZkTRjdwcCszcZiPSkgtNnibfJWsx6EKm7KGQ0iyMdOa3eRph7mYNoZpTgP
CepFlm1LSg6Jis2MFpQUAlwslYesrGmP+LuhJCw6HW3CR7LnWZ4w1A3BUzWK+kFdksDVRgs+eapv
6y2/L/S/PtR3CgvyR0Fu+fZ4sscv4fwy2Z+oIj/7++8WDnL72SODcDlF9g0Ic2Lp7z4ZFh+PCvPd
+MvMLJETNZhOhnoZkdLDY5LD6RPBxjslwhLqTL4Dgc9sSRUaGe+G3mg1Q4grZDoJ1VXbr+2QsSe5
i0brk7ehvh3jP8pfmoUfmKWW0Ap2pm/H+BRHJLfOpXpiG/OVRW11m3r+Slr3TuQ+OLnzsDPd/vhy
Hbnh/bh+TtfTC190s9V2Hz9V9W1b5Pdx8ctn/eOH/vKxiT4SpSCi8dR69PZceT3edBsYoJ5YYxus
PWXDc/YInHRkJ1zjCOzX+in/+vGvMP7uV/w6Ot8pc1KkwzYx1tPpcdypa3zDnri0nHOjO+Fq82C4
R1wJG3EKvXELf2h766+Czbhl3nPmDW6lZkXpbCVW0rHb5pvmjPocOfHqvnC6k+xOG2MndsVh2NZ3
mXfz8U/XPhv473bQktpEKfQ0xqVDb9ZrXkuvvFVWlQs7bwWJeA1Qb19sLr8e190OxcDoxvvYEfv4
BFvXxZuYON989/7jX6Uumpz3s/UvD9R8p9mJoqKvLZNfFe6EE7rzFsjjbU76E8IAx3QITHYBvm/s
U7VVv1BIW398/WX4/vXy//mO3s02TDX4ZstpPMlzsbaG4TDj+uo7+Y8I4X88vyyzykfXeTfr2JGt
9f2cTif21E4/fJXH7WC+TNq6oh0mld7Hd/X3r/rPu3pfUZYyJn+jirtTaCEU8a/L4Or/7wLvznza
aKemmXGASoyDGlMHFNbq4yt88mJ+dEl/+dylrLRza+JDK8pTQ0haqT7O+L8+vshnz+nd5NYo5J/1
VtyexuWtIEYRY+x+fInP7uPdAOuKuenyJptOAwGtkXnK8K4gIPv4Ip+MLuvdrGT6gTRRnGM1GE1X
F6R4py3N4c4l5wxluUpo/GdSuL+9ryXuWaHPgmrq3SXR4Gl+GbXdSc++17GXaCFFvs3Ht/W3r+eX
a7z7aMCl0yIM9fFkxDr1+6ss+6Sq8NkF3k2Jc5KNWoz+6CQzaVOMTiBXfXwL74TDP7czf36K70X3
IekOqp8yjjkbOBj09xj0LjgiuPvaDdfBufsUxbX4iz+ca5a7/uXTwU6j4TsLWaMeKQznzKqEgzro
rp+V47zrncsZjDZLt7HOXLrKV5Jz3a6XVf3yqbrU9pzaYaSs0bZsczfcfEYK+9uF/Nety/uRE9WD
rPh8dMp5Wcglp9mk+i5XXCfZ6KuH3NnLznT4Lr9wOKvvpgO5QJ/MXot+8MMn9O6991KDElVM7CVW
/QoNF1ZT0xGHdHUtTuZR23SrJ9WDLUPF1qs35eZzcfdnP8F6t+6BBpb0fCjbk3QgMQGAoBN/g4O+
sg7d67gt19nR2kgb6XvwpLnjJjkHq/j146H54+D1wZpkvRsnCRFTepMzNEkv8SqHKN1lV7dL3Nt+
hxwRwoYzn2AsPYAbXWVeubEuO6dedetwByzmy2c0vR8Hs7/8nv987u+lk7Yk6A3lTCnVWt+YGxxv
ozd78zE6KM5XrJoe6q5duaWodxxd625tszvI1+0m8W6i1bJJ+GNz8N/W/VIt++fW/ZmKTMBgesVE
0067b//7P39EKvCv/uzZW8DaiLOTKY/rPzRPf/bswazTqDfo2KNeMgi6+U/PXgPjZpnAaKjbkTC0
HKh/ynC13wi8pZQO4g1g+RJK9C9kuAhg33zhVDeR8/L3xSLawoeyEON+nQMrE1nTYMk+YkglXGtz
mghX6YR/kMZKPuRW05NPL08dvaFwH/nTkx0oTItW/FWDkLSSBmOwiPtMAWJVGsUvuazK9UiDkrxP
MyzuCZEFW4uWrKFMFE50Iwi6Uh2SRupnHS7va9vJfu2puQGAuekBixKul/tj7IVdFFekFTUkaKe1
3ntVTQbJfrIgnQuQ580P+DnJ9Oy344WJPtb1dwliJml3FNiNyO+JshPfKCyBgpqgqksaaTD40oFW
TwH6HuDraaecS2DsDf37eR6uFG2mXSAWJ8GRrPAdVZfdGPmza5h0nWYFwnvR9N1KbfTwWOq0lkvp
Mqa6cV369qFdCPEAfnKXFVk55k0BaVwakvVkxrFTl1K8sqruPLbNWUooFgwBfLoJPc5cFMMarJQp
nNRsyTOLtKn+nmjtTZTKN3DMM6qiaZtfSlUyX2h64mHp9oLSDB8L2KVWi/SMvjsOSSJMtSL8bjUE
w6klzB61oJVM7LiYtOxGMo3BK22S8S1K7Ku6zjZ5tbDpycFAaEq7b7bMlark4bkPSPGNypiGqtF4
7SgV1ybaAUFObCNPVMAFHb1SVdwoki4U4De9iZBi6kr9rhFMz2FC4sBEE0ymD0BrOHOB0Ncok63y
yfC7pbcqCSo+OQVmt6Ev98me6C/7Lj446tomUhRaewAi3g5soK+DTAsyPqk0CjwtHdRnMLG2OxBf
+kcl7b/z39J9++f576LIgVW+Tn8zA/Lvfs6Aqvwb0TC4gHA1/S4y+nMGXHCVCDgt2TRNQ9aW2Jif
RgTzNwHGEtM4uTBLgPfP6c/4jdeK+on5kRQp5E7/Zvqz3pUplqoN3jtkqkig8PSQVfp2lGRlquOW
tTluaHPvlbKvrygqPlmIpwure1Bb8y6Zr/yp36iVslYr+6prgzs/nSEtLsnMJQbuKp8uiAAOpK/a
kNxltFspIzKe0ei8mC2ZLtMQkFcfb+UgJyazK4ibqX037BGIE2X5Rcr78kVp8whmcDqsYeX53hzG
2yGqza0f1Pt8wOwaa+FDRgIAuVBPMykBaWnX7kCA/xQnVyLUnmtTeRz7SXXNdrxogQG4U5iQqlvF
h65Dq2JwDH2YZPtL1JbRAU6Cv1YGw4RBEN8lXfqF1vO80zP2Dw2kctOet3Olfumb7CRyagumdSPq
DSla60oUaNPj4a4Loyc7kraDXDw0tRTsLbVcCbgCWd6flJjdECetcYpOS/Z0NdHgA37yrSBdOGhz
xKbmcBJLzHIRqTu98MjPQZVCxIR6syCNSdJok6dKDSuHn7hpmnmxVPSrVCf/oDVqxOyxisdf953C
aBq8E2Ip/dNK9KUjZ+5hW7QgE/yoWw8F8zNxZlBkZk83Q8Jc05QUufRbjQN91aoNEvla3tTmHLpG
311OttjKsYzO1ae1H+ZkaUTEzaQ514Pm2RgBdAGrfpHnCWajjHnTnlcF3vnR9IVjd9YRlz/NC3HK
QEyYsbE0WGMEWiH4eWtlGTP9DZ1kjlQ2+mVdJAKZtA3XHHqYGgmg9dRqKJJHbeZGFoCGKRLEuGTz
pWitZxJcdnRlWq9rCMIg53TJH7oaLLQWloLrttK+TkurRGdZypUspjdaw4vW7gx0bFWW1mv8evax
khSE0MVFGY9fiKG9D5vmpaxssjaHyV/Nplk4RdzhMKiVbJXE7a6f2mLVE3zXRah9Zpw9Cy/0Clme
BnNs3GZKW3jI1lB6TObgJMVOU2lakYv+nfdxKMryrNchMe7yhiYxESFkjQAAJ9gj1W5i1GlI8UBv
DRfFrLKlbvO9DyaE1uFOzTqCxxCm0WN8iZtgJ8Jgg2g9dUy7uR2a6KbspDu87Ts5L/YdVOvCNHeJ
HJyJyf6SN+mdmRBXmM7Ac7T6oHXFRdeTB0tAxhVblw1y3KPemat8HralKHbK4iKc9C2ZH3vWaGRb
k3Yo0+EwNPKljFbaYy1b+UH7OFjgQxp99qK6PcMtBdg2W/taqNdGVB6SqIc+NnXcYdbt0EOfdbm+
CEqL5JOeVCR05eQs3TRF8xDk1YFtz0UX0usLpuschQ7n7PAhSUMPh95DkFgbIyi2mRnZu8nIN2YP
3yyy2gstF5GL9hPnS7BD8XmVST1iMblyw67e9UJ+hFaUuracpiuhdtdo3I5dTf7rbNFLw6b3iA1n
a3W9WxIoqRLs50LhuNBS88tsi80g4X8Rg5dG/VNOWix7pe9zQyEowvsykzIeyexyHWuW8uxaZafs
pvaQqmTOGcx9o6btJT2b17WZHkTQHXWR7Ma2o5qniEMYhme9Tw9+MA0OSRgXg68TVyHylz5qbUeq
U6QHYlMV4lTnSUxM+cjWR1YQiSn3kdIdR0V/0BKJbOD4Zl5eIVSIl1IZ+RqDNSmyED6lh1Huz5qi
nORkXIWmtVCAhmdVIlg5KgOScKqSdi7volYML++QLVQ2AXmadjGJrCWoot4mRbyBFzSsGlO5J95m
XzXsLkOULo101cM4cFX9lpIl4Pr5JU6tmxn7yjE3qhKoKnXFLL+QlpRnv0INOhtflNLcWKrv6Bpp
+TCT9PVQj+o2GXW+5eA1mdrYwXQuHyYE34piqZ6iIGSQ0VxZFZoLBkUJ6YHMHTOQt03WPTZDdFPl
cBy74Navm20ugc8al1BNkgG559tgSh/aKuTIql8mizpO7l01NiemlXFj6MV5aIPbSAZfZ5v9VkpJ
55rtXd2YV3OqbOtA8GiUs1TVFEpIt+k79SbB4rOWsWzR6F9sWspwVWrmRUPN01xjGlJRog9VdG9k
UcvkD0RFzQmiyux0abaTiViRtBXZaMAAUFZEqkH+4ZawNG3rcdpYQS6Q9hg2aVDQK2cpqhx1IVoG
PeH/fZe99MAudTOPPVYYArfge6xKtHEjqjujaLc+oJrVuBAzi170exp0GbCC6Xteo7bnK3aSKU9c
La4VbCHkWBtp+tAXgbqSFzKnBTfeQ6pgSU4WmyRYZsFxUFrgnZXSPsaKBb7BmGsJZ+BgXDVDPhMj
MyMuGVLdpigA6B37H01Fjg1Hstr2hJ5eqnbi6WO8tlTYzpV/HaA77CqVnDkth2pr0zlXqkd/IJ+U
sJZ1rSCe65Nx06GiWGtt+9LHnask9pPuaxf9QHAYof0Z4gWU0WRVNLfowaaVbYXPzKz3slZvSbo7
y8b4CtTzgNaXLXxIrkykFW4jaY/lbBysKLsACKm5ppUhmiSwpiRtp2OJBj9I2NEPOJtBI7+4JtMz
cvAE7srAPBpjtAXv7AQJLEgxoAqSkxX2msA1Y+1KDNlNy2GuL6ZpleX5bQ5k0s1oohJwuZNl6ULo
istWaKOO1a710cUm4S6wqgNK5AcicQ9pruxrjZVWs73ELr/68QymK7gafXYKE+FHsx+ua1geRtW+
ZqE4SnnuNgy6cewOnUi/AtXjrCfyXSFH17Uar001QukbT46WmdtwRB+bSCTR5KDIJxKaJs5LM2nj
fo94aEn17gCYt7GyzTr1ET87LDtl9AyJEDn8k2wtKkTEacXsnjwSdos90gicAf+nSLC8Q2LdSWV8
L4S/AQt5Kfe0qpNWuZ0GzJlx+VDAaV9pGYmwUh998+uid8d46DAbaicE5Sc/0L6Qd4siNi5R0ViE
6UY7zkzCCwL/0CfzazkZp7ZEYc783h5NlcESFIOB7sGi8jSVytqfTPtcKAVpnqShAtIj9V2+SnXp
mLaEfkuB5jUNqXe+EcJJwcOyDSfzyRiIlhPMNAQFjcdxtMn3IvR2NOarUjKfVDX2vTKqHmUymxzZ
7LwE5wupPty17StbsUw9FdYR9FbhNqiJtcWaelFic0wCaT6jFj6UysJnJSFsVdXZd3yhDVvECrIE
/0U7Y6X0iIVwsGzSOdsNFvFgU9sd53pZtQ39cVxUXDEmx1U9EtZVTfpJSaITtA8XCWe4s8K5OZYE
QJEIrtGDT4P9UPtXokmfCPXTt8vnbhLBT9AfqzlKWO3JDuGglPqVMozRUWg5uphyF5TyLfArZy4M
GeNQtwkgEcpZcqwCedNZOhQqI/uOARh5nKaiarVvk7bYR218SHo6vukwrhu1fZyU6hqs1cIWsE6x
EpwyIDKppU8w0eP7KhVP+qhdE7JTHAwND1dH6runtvrTnIkdxQTJJYY+3+Q9f1iqFK9QIkg0+Lq2
IGpJgCRQMnYDPZO1m1GJVY4RdS2RwppOuhq7iWZKa1WhkPHv2zZiQS3T3VA4SxH08PYAhVtLHlU1
j85xib8/v2jmER7vJy3ZpffztuC5XMRUcCMizeAo+fYiiT/WmtQ0EfLYnZRfyBK1HPT/w+0vp9fL
3//gG4fJ313GWpqseAstagZvL+NTI+MUILNxV78PxZ2k/WtFxWJgIeCdnHce1/tn1YjJLAozS8/5
wEDb2v7zv/79FBlVnhAPaolPffv7ieH2Z9qZ2dnm3GFcGn9kyP+L3iyv4Zfn8+5d62YC6Zip9Kxn
gHPdBCYPVhfEma9gED++lb+2ZogmoGhDioRBFUe8exWpHQDZm4vkjMaL0C/48Ig9A91lGUYu9PG1
lp/9bnS9eS1LJemXNpCsRFlvmWl6LjUXbq/BuauF7Lieeu/jC/3dTf36/t/dVG7Fgqys3y+EIp0y
FJRJ1pFlKS4/GWvLj35/U2IJG7NZHTX1vQpEg/dZsPDm50bz/PS5H9eG//Xj23lbOl46dkuc7p+X
eD/c5sZgr4Td/Zzbz7H/pEv/h+GMgRh+zAKIIcji7XuJq9RodUnNzzEzoAacc/o/TF7kC8t41TQ+
G/NH7+mXN59LOft7fDvn2XoerFNH5p3cfjJ3/d1LZxCTJwBVd4EMvL0LEWZguHFmnolRJNAV+JRi
XPWobMsVYJaP38jfXAvAvIrTw4JYT/3p7bVCH+Q8Mer5OVzO1OtoSZRdW5VTsMe6/nGp/5Y8l2H2
zyXP265IwVS9/rXkufy7nyVPjJoUL8nBMhm3Nmzmt0ZNDD5UNtWFWbj0pH+WPO3fwDxoiLRVcs1I
Yfml6mn99j6W5V80fX7PqvplciB7TpcZ9RTGseIzQ7wbk0pvEHBdZNl5ht7FwdjR+8JwRrhecx4X
Xg97yYlhfukL/ItAPpgvyiaibhd20g5IwUpAC8vZk3TQw4amfE6giaH4cpO8vRhn5RgIfTuH6OST
BUAWWsFTA5EMnW2yNmGUCQrCrv4DW7YAzGZlSA/ZAjVLEzwL9gI6KyCedb+jz8C4LjA0sVitZ0ty
azhppmR4Gty0cCzOJcn8TiniR/TVplPAWLONihZNl1gOIubo3JkFxDyQbMYYtu68YNqiHmCbMdnH
FoKbBslNm8bXSZ8vSO1+Qbx2O0x9wVko2IB/OJgGn2rRm2fEx/u0pcciQuNOw701F+2XITS9ZgHK
1QqHiUHYlzqsuTQDeD0kp3iIvRI9tdstWLrYSkGv19IDKf2lU8zlSoZhF9bsmuZyOmgCvB2ZpKQm
Lci7cIHfSbH4MlrZJXVJalR2cSqrK3DSXgY1b7KUM6un12nj9QRVb4xjqsjQmjSF0lAqPfa6z1FK
9swOZ5zoKTZoafYSTd1dKQHtyxZ8nzLGp2kB+lUJ3KnRH1fNAvur9J35g/7XLiBAbUECBrAB/QUS
mGHucaeuvwknckQXkGC0IAXbKr/v+Bl+Nc9usmAH9aHYGJHMs7HxecjToVoQhXEsIY9fsIXFAjCc
Ju06spHzDf43ajGxE5mwDgvzWlIpsUuteRQLDrFbwIjhgkiM6vBagplowCg+ctBnIa3iW9vPv9oy
66qfQWRNvkE8ug+E3Dl0EcAGcFPbcsEzCsmnI16MgWvBbtR02l6R5btpEaGeijrc99nWmJONzOY6
UbV0jR1wQsHbvdLGLVe6CSZShhdZwI0USpkeQ+AYbrVAJX+kleSj0uDyqHEFMEtjQAD1YCqivIBO
e1dBqPTLznZ1OWYRiCTUBKNN1nEHEySFbSkXY3pUEHJ1dvMYQb80dOM6X3CY1gLGlBQQmdkCy8x9
TqpiyhmZkDRLiJo2ZE3NGEgMM+aT3Pnf/F5SVvRpr0VpX3f08wYtrx3F93dWIiG7Z9A7NgzPcYF5
1gvWUw0S4BcDAXRxhTtQmqdnOOwQDRcgaMoTdVoYoW2PNQJmqDJZQLwWjCiBUWRxqtl6IjuV1t7C
Gu2BjkrJ9Nz25m0w9rdJCt13tC/xLCcuWlndHRZyqQbCFBddDl7YWodz64VTb2IzrfC2Ke3i/6FS
SabEM+912hP4vqaQrDuJrWorVdJf1bG5SKkmcFImX5Ak8LU8zc9wvbdT2dKuNUmRki18B+QcWBin
CzLHq+GGJKDCrZqWPGI1INFPM/k9fZoTw88I5P9/V9NxosywmLgxQcImk66rTn5tMoaEbmbRvrCs
u7KuTk1KDRj35WtZymdLGjyyb02H6pe+zjm5eiZ0gVCe66OvyJsRrAZY6Nk+VOw/nIT+KwHD+ZOe
pYVXQLtZBZEt3L6vdXY8wdbXzXFbKNNzZUbFRjA16knkVVoHXC3UL+Y2PDepljlEVdurKdJuhjiD
9aYXl1Ujb+Jav6XEgy1EueHArboFDFZHLqxnUsP39I/3Kje3GiJ6HYbc3VETVVwf/Mc6xTEK84RB
DZ7rqTfnp7qtrtFSB9uAqD2QBB0xV1T99La7KW1aBHXC+8VutLI1vKqDhXE6yOoX8iiYKkq3CMWZ
iW4TVJT9Vb25nfzhPlHbh7qyYccn3YMuZnmrkAu2kmUVVhyaw1VkEyo6oS+Aa0omR6polCTjm5zw
85lW2spPlKchGWVHpLFnpIISsUhUDCLolGr1vjevhmY/+49DdNBD7SqPK4comftYyu4iLePV5O3G
zIuTCpCYKFGloe9jvipM9GtlFJeUdvm0AZiRSj+ljmXO0TrFVelEGF4KMRwbYqN6oW6tkRSxEezM
PCk3hGkcQgICyDDpHqx2wk1dtfuqPaGFoHXVUcG0gkt94hAAJjCit1hTIamjB2WaN2lax0eqt4o3
S/WFQO/g9VOXeFo7xs7MAdlpSpu35WfroQz2hrAl2G02nSWlCATFqE5Tt/pYvNpRFl4MeUsqDk51
w3qIi2zY1OQTgCCq5umkhDJq9Ib3bE2zuQ3slvI1Ad7MX3sf+NKZNmZxlmdp3tKI0Xe9FZ7SOrRt
THLTtJnHEWpdaVdrFo+YjBd8F4ZyoZbGjtlob/oMHY6rWN4lHOO1rt3TymKG6HEM6Y20DSv9pOtN
sM1D+VWb5Ff47y8sOYsFcCTFXVpltrVSE5lb5zc2mlKskjH9OkYJmrwg3KhyjHHbB9KRB+YjgQoE
WikY4IcqXFcKFjNVnT2zl5bmiHkIeNjlSyvvFd2/TnxrKwE/OkU1cMISVmzUZYqbpPIdj59VXElf
IavvewK/vLIar6iDb2K74XhI3oqXjyRzETNerpCKR45SDY95O9bumN4Y+rQyU+MuE9XlVMUAQuYE
AhD8hCi97PlOnKYYPcrIt1ahf2VyvaS3krtpyBCIzOpakWqPCU7ZDDoRRkJpTnlIhdCalW1utqoj
4uxsiRpcgB/SbkAJs67HlvEwBCnNjTl0arNZZyN6F+zRDdh39XluVEJ6BnKCInQoS7ubTe5jXZdH
fJWWW2TSWsGWhw3riaXFgxNxXVf9gS93SxeezLghvCvh07txlF4MCkttohwjvz2Q+/xglMrj4Ces
Ebn10KjjRTHSdh0igoNiSSkdYQT32STnLvyV3Rzta72+GIPAw7RHql9kX4VGyRotmXdd2V/MxO7J
efSS6sa+SjCdNtp07ClAbqd6atf5aF5kCgIbM2MilMKNbETmCnouHRr1OMjzoas1DbwTkQ7mbD7E
Q5Zdar48r4LWxrZDcXbVh1i8+06U+N1U2JhZjpWaxApCDupto8MTruX4xRrYw9hjd2mV+OQELOkN
op7mmFXYzSttOKQL77kI/E2S+tJGZEPMntNv+bgM2gD6LTqePWFT2QYZ1E6w21oCErTYdOZemH+o
jP97HFOp1vzzcez02j9/o6zwFwUe/+rnYQz9Ceo7jvlo5TRTWyR9f6bmEIRpcxKyllMQgjsKMj8P
Y+I3ZHl4qDlNL0k7CsrYnxIUUnhk40dupa1SPvhXChSSdt4UalCgYIiz0KFQ4+LUw694e2b3u6jU
DD+azlF+qU0W7DWfVuhIzNQ4q4MjT2rlCDU/2nN6bU/6y1SmkmuxPEABTTEyRw1YsVbsm0ScNZlS
0iiZLyJMLtJO3JPZcKcN+feuC7xKMkuImdYTWqzSsbHOu8owb2Q1O5KLA6nA7wVxNbQe5ApgBbU5
FBrJvUk4JdsHE/wA+AfwXqlTqMYjkSX3wTS/sJdGdZGI7VB1d0nUXtZCxzHmKxsCdG8Q8d8V7LRP
ft/ui6FnEyY1B8WmhzWCO83GgnueV7GtOZXd7Tobl5IpfPR8zLGh9NCV9GvYAxI3faIm6M16yP7e
svw1uYPI5oZuxV7Fq2zYSKyPJNso31hQz02imLiSq+lmJm8n6n3gqGXjzhX7MiPWIhdfPIC0HHey
kIynbE7UNWQ8i8REOd0TaiFW1aA0K2n0N6NVxCt7WIQnwkBGp5OHJmZHU7obE4YJDSPjntkSbmwQ
1Tpdky5oMXcbHCec0US2cqcMA3V3mEkVGseqlUM2V21fI40JYs7IYZDqK79AElKRNkfzdZ0000ZO
x+089CaxEAgW4wB7FAcS1/rByoMColtlv+CBXku4eamMn5zA9y8zaUIO8fV0f/zurs3zLxF8FJ+5
VE8LAiXJG+u6w1hb6BTjfAufWFqHSbkEjfQXQi6o6qJ0IBP0YdLNfVYiPckM9p6KUd3pGVyTTL9W
OOEN5bDDv77hwIlK0PA1R4r8LTbywg0q7cB+RXGEBBZkkjhjzJl9L/W17ZiV5A1ChbLVQ+8jYNP2
h90scKDLBTs2PchXopdat6/KTRSFliNb82Wu+p7W4eKXIjYTdXc/06ZNDfV7ofHM/Jg2lI0uyk/u
yNB5Yst5OSI+dMfW3ib5/NjUROjIRbhFXWG5KfKCfGz3WWcxmuP5sW8nYMzVczuRpWeoBxHj+I7K
JzMa2pWvoZtIZDqhaZ3ednp9F1L1dMqOhVW2sIOO7bqcWeRa66ki6tSpO/OiJiB2DvWNrPls6KRx
I0+AnLrui2EH19CfPUvJz0AizmMpY6s0Z/UY26SZVmZ+nJP+pGqBl+TfEjz1He2edTP4myIali2u
rqwKY7qM4OTass//GTi/t1aD5acZXUJjnzPfz11DTlpXbvQ9GQyq0/fTrTnDJhuL1KI6YN3meXAA
ePI02+FFKsYrTZU2isyuSlToZTN5mwmbYWRVO5rsDEB/YeSMaz9WX3GYsOnplVuG8aPVRiHTQnFq
I/OqEdo3wRF3HUvDZeFzMsgaRXf9QLXIfiL4JDVDtFHkdCHQHdPLKRHXCYWGpU9Z7fw+lNfZpAxe
boqX0W+fk7S69BWCInzL8FfNIPuE/lRiXcfGobQb/XLWbNKTipAYWQS4N2WufPUnTaUdPd8hqD1q
c/Ci0ELu0m7aZr6Q1m2inkJCetlBhw1YIfr7FFxei9KaSQkLE44w5YKeqoRTtoInICyCSw0S9Hy9
PpLMd2hVZR91yg438XWNDAFQj7YzZ/2ETeFQZNxllFSrsg1lpAGSviKcfBWHWccOVP+9RfLfJX/p
Vfzzkn+ZPn99rf9myedfvVnyYbr/ISuVWdd/WfLpKbHem/T5aMH9Un8VgHtNsq1lwuXo0i2g559L
PjhCRaEtuJTWTQzF4t+oTrV3mRw/1nyCBGzCWQhNXvAPb9f8fhp6vdWtgQS2nn51mzwU/XRtFX2/
TkVwzpQq/oquO3eiSbvVWo3FQ5P8G5r636VQ9hDG6s6sEcoRcPiS8xSBjIUSBjv4Sx1AJBtTMq8Q
cFzrggqmDP+XPAP/ws4ob4Sl9dJp0Y3Zzw8h3Q9EJy0VkVJ3xyLMtolV7rWyyfiLIbUZkXtzqt5w
rdXQKrhaho4AiW7C7W4jDfRn86JNxB39SIRkSfAtbuwLnT67rI/nMGi2hcXkyAR0pYay7OmYO51Y
7y9HFREWbSvTsVR45uCElnmChLrK1aoOF4HOkQdP/ZZCUuaJdqESowdbd4Qdr7XE35jJj6CSDKV+
qd+SEUbYq6D6oK0J+eHAQpKxCwB2Nyux7rZ5aCOHm+8N8Y1C4qrmkNI02d7q28dOnol1jeH46RoJ
f93E/sbsCZUxxum1l4tdr1iepVGvFHJ4Hyg4C5YDd2pTo0WqwCZj3saqBeXQOll6QAWwvi8k4wXJ
7YHQYjQthNtB26saZdf5yZU6IY8MDPPa5gn5kQXTr6i9IU1PtS6uzUh+ScZZduDdME3K5LQJa7jL
VP0ppqmLoB8ofZ/rXtlRYxSjdVBi+1ZK0Q6Zswy4GODxkMeHWfPvyrE+oYo8BDWM3iZNXzkufRl7
6bbUkM2F43UrTE82pcdOir9SOGGXRfaIW5eB5cyLsIssq+/WNN3InRSBjxYXvKbj8P/YO7PeuK11
Tf+Vg76nwWFxAvr0RU2sUaVZlm4IWZZILs7z8Ov7obydyE7idIBz0RfBBoLtxKVSDVz8hvd9Xig7
TCtWvnhDkLb2dV5O306bYgaxwnG7yVEuW9LJQcTa3iQB+FRZ/mRk1qOR1uMyG4dn0fZ8vzQEmWkA
oL1r8qPWJUwrpwe3MtIVLZinJdYeNOw2t5qvnSII9AiNW4ARXoDfgLzj8hJ+AyHG6E5XtstZjT9Z
rpQQ6+toOOzx3PheNrxJE0XewuS2vRCpft1YxdotUqYLaeWuCfMq9j6ZWBd6m98P9WNS7gyuuUf4
EQh2IbOHAXqnqRF3eTmGV2NfuTs/nodRdj14wL3hbLe9gFKvYQRsQ45/pXhDG924SMXKhltT6Mtx
3aRxOd117zWhSTdLtRb4sbjJfIMKCxHOfSRkvhbUlKS3QN6hymRQSLk5152OxDeSud5Y9JSkGtNi
IquSfVQIe52SiobKzHjMO1MS88TlloR8pbOemUDISCJisbpUonQVOO5w4xRUwGRBn4dw+jobPgju
dFYMWzcqtXQLGXA9DSjDMwZKK3IEkajYF4MQgHoiosech4jKPHRMHyghstQGUga1e4XkLKGWT6J2
U8z120SVnxeoqhXqfhFmwUVCJxAL64Z3V/NKeoRaUqfRM7j0DhVQoWXg919qS9znufE5VW348fQb
ch5tlqwTZgnsvQlzmKUJ0eco/S76uWHJ5tYlDpOjSi/Dv9WXw5w0UTbmI0qlglEvkSBG/DbSCRXS
vi/K6ISb6EtVg6VUU/ts0TtZba5CtgsN1hxgNokrU5aqr31RB3kNOOzIh0cTJiGRN7F9l3YgL6fE
aOaBCZMmNEjWfK+nxcOcyO0/b7iYRi49m8KgDvVdPVcKESWDpHRoKSFUSgm/bY4E0BLKNlcZSW+F
C79LXebhKdh+G7K9gNO49ilQlHksnrslEJ/WjRaMmS+yuZ7p5spGp8SZAv9ZGdNjSOmjzDWQNowv
ylwVjYQILKseWXMtskVKsiu0qvKlR8aBulZlLJtmd5HDvLIoXqKJ/jPQ1fR2yKCkZvodCZ3p0i/4
NBLb31DWqyvHx9Nj9Ts7LfyVb7WMgrk7FM2Lq8MRq9OE7xqCVLxCCcTTal+p2kidlATZGg9cTfxh
U7tPelo39jfY1b8VkYGS51cVUZs+13+siOZHfayIyFnG4PJevzg/DkHACSPWVwk8Y1dNMfKd5a4C
gJ91OALjzH/Mi98rIuYjiJlm5i/xme8WnX+wkcbx8/MUBDsP9Ep+C4yNDl6cHysiAYY1I7ZSO5sJ
gRlbkg10JgJlfGINvRRTfcV8+wGLG9dzk3jk1D8oEaviNCSZPg88AJbMNjhiKix4ayOvrizmda5Q
D62PGjUddgbx9lO7NaXymAcBhz6nWHDWpBuc8qh2lqDC3JWtsYeNa7wLFlRW+n1G0S3NKSm2j7bw
E0oWpdmIvnmc8nTL9goymdld0inCp8iUiP+uHqaOtZGOeHwG5HMhJ/eZ0o4kLquvUVG/wVGDC49o
N29jiK/6cJM6A0fYIB77UXmoJoEVbyqZiVgO2azuRWaN40ER8TVWTVYMGQ7oAaAr1jf+ol+/YaYT
/MX6peo0KJe5vpJ6FM2REPoqDSvA7bnxosaf6RvD2iLNg5gVs6+4SZM459tNteIIHcXSjFXk0Vlo
GAgLDSi3VW007rMWCXBX0UD0Sph1IeSHLN6SIDVviJR2drEUaxycTKpUd5Y6OsmGfjfG+tFV2tKK
KpCKQd9cse3XeGFJddXlhvSY9ZYLzhXeKmJJFnUloNGUkkVFxvomLa3P+VThE22J0hCVYNKa1/G6
mW+xUIvTte/6JrL2frzCPoZaoZXqSoJuC3Mr37toRhfcX6OTb6pw19y23ofEU3pDhe8TwSehdKVO
76qEhu9pcfumu7njlWHZLsvYD7Yg3750DR8fCQTzeoNBm1ZiWYywRm2Far0CwWczWfY9SEC+qgy9
dona1svclMmlYwTxWqszC/kDUwWXxaoHU52Yz642PScsX9NBcz0WSiGVqpJc2lMe7HnnuH34ffbs
zIgzfYzUra+S/1WrymyTxIhrQF0GvWwDK0krJftSjAQU5jVjkXom1jHhrg69nfdA1NrKc0NsYwTs
Gl7RWGyxmXvDYjTfIhRXgIVDwmaF4WHmRE6pTinGKbegjnIc8UVNGV5RehNTnLL6ZKaCOqAQ3Zpi
SWOu72fWSmZt8oVrLthXUle3/YT4Yx2SQwtxyHCGjYvKRL4hgxi3jqbpVzkF34pstfrQ+JOKCYeK
olKH20TRAnxQibnIkD/gGSvvR8UNlurkg7SDi72uQ3YTXf2oBOVDks9gQsfFLpsykuhS6DdSteE0
jvJey/JLCaX2aXQxFuhhEGKHcBwWYIiGQVpCfGbrbSXRklD3cue21muYdE84kDd94ITLwVXeetnM
q4zokdycPV6zz4PV255RK/Bi02o+RNwTb8Wujd23nOtUma2sTerckpZxWWrhvgBausiq/MJWxQtS
n4cuUYaVVg2XzVQ5O6eqtrBOburJvStDy1+rDfVM2VZA+cdoETEK9gydeaHMKHYc0lN7DLKVE14H
amUSy4D8ooWdeSAu4JnxG7uqTN9GebiPbf/sGPDwBgDoI10pVwopMsTVUNJECQnA+IS+SIehoBU3
ELuNjr2SaA3UE67YW6iSFgLKIuRu0M817MRUbTNU0uVl3is3jDJ7T8ZxtA8wgjBMCsgNGnuHX4mK
b0SmsaG4hESU98FVikaVAR/mmHa+eCbVp+2an7QpzHAt/cj11LqIrpOgKlaOjpmGE6b1amnREJmD
6xVCY5cqadxIhU44YezRG1rUJn4dGZgMUrF2J5YpVmW+4eaeVrGYdrhmzgzrDqkhj4TOpWujV3XP
6FnYG2oBF4G4+k1om6qXkNSxEoTvbHVrMFeSCWgUJhOS/kj3dGPgqJf8tmHKVav3sNmTjDUjPncg
pwWnlFoy4e4hfl2Z4H63YQdAtJWa5SmSAaxMaWrLoIEHlSaCQVrfflP6/VvqzOXHX5c611H3iqHj
65/o7+YHfq92NIGUDtygcFQxc3B/H/9oKOnY6VDRuCyF0Jn9VuwY4pNKpQ1YAXYxQrwfmQvk3zgO
2kqMbBiSnX8y/nnP9fxdfcfMibgaSh1iHi2LOuAPpBs9wzXBkv5U5WVZ2EclIV0bfZtQ6xSGuZDx
2W11I2ab6zNywXQwbbRx1BCvNARxERqfnNu8VDibB2VnmplxarnRrHq9zg7MOdMbZgz9GYZ5ccyi
Jn9pgqbf62kf3witrw4ilzhlm8F+hW4qtrlw/I0mKzLp7bLJnxjUMJZWOjqFqodA7yZerGv9akoy
8wubfu1NMaLpWq+tqCUOnBy2bGRPqzouEjarXA06W3luuzhXoWpdpmnr3+rUGtdtoSThjSrNOIBk
Y2vltJuK0MdlBAXD4Ii0s0DnCVsVb9miY5dThSsOGACpiFu6q6rSHKbg5KuxLpmsTr2wrEKuUzMq
5Z0iJ5ihZRfbNpFZVgmWuDJGZDEdKZpx2xo70aXNeqIKXdkTg3ryu52mICliJk+oXeWah26GUiB+
gU+RMpRmhjBTK5RyJliMUWYYyAtquQNQbLurfBLXk1Z3EHJnEEYOEQP4P8e/RV75ycTMvINjGXXX
Ewkwm7Eys8mAks7U75S6yZgp3vuF8O+JMG9E//pEuMmzPH3+Y/MzP+r7caDrn2h80GBzzc2BzkyK
fxsHG5/MWXTLhfj9qPi+AXY+OSYnCKABjcPEnH/g9+bH4aggh4S1MUcJh8g/YrAIh5Pqo1Z/luOi
pBesooEhOPY7COqDDB1fKckJ2M3PuoGtfWOiQ1hybrQvlST7T5BbpKZ+vFX8JltKzb33G3xLfhUS
rWDaX5o0ubHT3l2QzrJqm0ZdwBv7QuDBru7KY6xAYqmoxJj0dLTrXQOCTHvq7YGwPZ1k+bQsd2VH
jNAUnY1G2eGjO9XgVbSK1PWW7dqyG6d8YdfONouYMBH0ZNMhNL2VL3NluoytFu1k1F/rRvPoQhym
kciuxhhhY14ot0oYsT3pJFytKNoExAok8nMSjU99gDJTmvK6rjDaVWW9BHJyIN09WWMF98Y8109q
Ic5hNEEv18RhMouLLmsPTu1/Ldz+EOnWkz5a8ZUYkNAFmX/qBUrQQFce+8pc146uPVdjPi762FlN
dXUf6erXwAaPDHymXGL4uBts5SvyQl5I4m7j2DmNSRCuNV6Dr8anaCqeawntv/OR2vYjXvxQL00v
Q3nqD2AJKie9I77pDDP6KbVYsMW2fhyc0mtEnC/cNM2AYmsbh6ll6ZvnWMeyZvbTtu01GJYTIScW
0t3ePPUdQpbG6Za1I6+yVKWfy4ajU0/HvnYA4PrF5yhkjEeellyUTDbLGrdyHDefzQlP+nzaNXX6
ljvVCRRHwBgouHBDEa4yzIN9TVqh1ujb2nerRV0Gt3pSwekJZ1kUw6/eaos1rJ6vWWDfBP7o0XIN
6zRP92Ouk21hKK/cSQ4TiV2WbB74d9ssx4IsOsdZ5zrJKqFsCMqWydEd0lvrmGuzWhsrqcX1tKLD
Cld2W78x8N1Ku/KsDnlB01YBHrb4pLXlushbNrQxMzKAYzdaV3ncIx7FqHlu0AaLwjEPtQQ20ORw
sLMsvWplOG7IdNyIBhbhRH86hihRweI7y3iqToULIkKmM3d3NDw9yA+xKTaJC0QgdqsrEfd7GcIM
DiuYXi7vvfAPDY5tBLuRPb60DPEfQtCQGPHdlK013cK1PndSwcJBOX+lFm55TdWZJp42RJvGUDex
EtLs6/5bHGC1NQnWDokIzdTS3tvZcF9b1Zcmbml58/zKDvC6hvEV2uGdg795CaFkVQz2Uho2isdE
rTYOWGaA9IIXV6xLGwuyMUiAFoNYI63tWQXb01J2dbosGLc1KMoMa4Q+oa/KYXhiRLdW3fGODxo4
slR2Y6QcszL0whj9PqE/OLmWgYQGgLBRkmYUOzSSA2NzJPCsf5oHraxWoQl5XYef3aVYOY0IrnqE
yoEl6rx58HoXA3eR8oHcNzPtZGhnI/SyA3QQKbT0cWYTcVGvwsj9nErg33UVHrsCNtBURu5mSK12
Qc+4dUv1gkHDS92zMgceMA72HEjqroxiPAEu33EjR3Gu0zJSifPZkumjtNu2rl6AGJzl4KxqKW7V
KEiJpGRNG9soCUymjTFXocoiu6Tb3mixemO2/iuJJHw7O6Lc3MBZ1sSGaIE9LJXS3AojvUQq1jEL
hbcS4Tvn/r0MRXvq7exAECwD1JhxVOCQBsDow3K2LZrpalQ9VB9s5bsHVS92vgA53qn2OpYJ59+Q
KSjx8muDmIllNFUgIAJGInLLwGBOrb3wrem2pI0t9ebK19t9VXYIJZAZDO64mib0w1a1NoB1MALp
VjUNMKewsXHN5kAo3sbBBLp0R4UGXZ2tC0gi9fbJiJB097pp7MiYutSycVEEwZU2OUfXYcszYabf
WFO/Vy2yUImiX5KaQy2lRO7OCMyW4cFwaSTKJk7GS9113mhJNxlI99oiN65ylA07g2zZK815bIrL
xnbuhojooNQ0kfakpgsDTE8+x8z0CJbq3mTdHvBb3ydttpPse0KXlq+tousWDJUeVW9mQABKqxUX
4QBjT053saaTM9GxxWH5V2fmVaX4RGSp7qNiVQ9DORz6NCwWdZvaS6Nwlo0WHnSs5+FA3GIfHETT
cIyLcUdeOzm7iJfgedDDxvf04328IiFM2yhT0yPyc9aJGu10M8ZH0qfTik3oV9EZ7QoTCG4I/BTu
NJ21ipAqyoVgFcCtH6pJLnyDFVnDDtdtgFVGqP3bcWDHmkcPudQvczZOIibztMvZ54T1C2ahVUMO
De7xc20Nu0nn/KpI8VlkZnY3jMp9MeS3SaTHdPXGqkgiuJNjf+5iWBWkktxMWYFWupXtVdXICGCB
LbdiBktY7A6GZaphaT58qKf+xBWr0xN9KE/mbTVtj62yVQaTpOpzO/XRH1mXBKGProEc+CZdfCbu
+LJckpGzdJ9vr+sTXud1vmy20dH0CPna5ptwbwZbAnr/LXC/4QJnD9gvCtzn7L+ObVT/1/lLVBf5
Hyvd+eHfK12MZwzS+ZxcnX4LncOHSlejCMb/R/OmGvOc//fOF6aWy2OoZHGf0ZbyqO+VrvgEbIuH
qRpyPWsWT/6DMf+PhlG+SDjNHP4hdH4enfRcB3+ocyvK29qw7OCMG39R64dI/F2kAbqCH76ssymV
EpofRPQlJkhe1I/PkWq56hYJnGpwObssbLnRQCuoNnY6nAaDWR6b1LH2prGDBqEU1MVa45g3OvtN
jAusxE92ZbtEgAV+eWorxSmRbhlWebIsRR3WogalBTJLQzGEJAkrSq8SdRWm6Rq7Pe6OoZy8CoTI
uodH71WhKNekB0rPsAqGuJ11KelyvSKm02/zoPIiJSBhOahycrmyFMvzTVZN4VuKQHBjfDPsOwyA
yUl7N/K7CX9aawWrwXX47vZnhY3zH4l6edUw8aqiEhQoaWtEkoSfjULj2A1xfCRY02LIO0ZXep1t
HfvW0hZ2o1yQGntvxsZt6dY3FRiWIOvuLTTRGINKKtpIHMtKrANRHsHdwEMMYuhIxLAFg3VAJb9w
VCqkLsjR9OHCUNmIT8SOVSZhfVKCAkq4G6t5eSakTW6Jtz62A8RaKx65y6KLED5ibCfRGMTmCXFE
7nrMLQaqLkPtgBvyphkGSm7Dnw7lWBw6pNZDGm8bJQq8NDGrFSnsS7j767KPTmlvGmvfAJ8VhIU3
TdXO5xYTmmXiSQ7YVUBqSjVhJQtQY2T1UK2rkKS1qjmEBhM7ZVStl7FDyj5WRJRwIm6Ggq/qoEVr
IRpGAU62YuG+G4qSZgNgmyZpA2KogkyPsCgE0pz1/7jlBgEnKUMOxp6WNYwv0OONzanEjQAbstqB
dBm9PFFfhdV+pfFxvCqxUvx/Kfm0YWxGV0XmpCttEJEJ7gXxra0pezeWmkdH8EK1uZss5aLR7Lsm
VLwk9C1uFBXbYmc2ZR5RXF51GfI2yTqo8tczQCK1+ngLmMlz+oY60eCNR7K/rdXugSRgUPdEJiGl
eGK0cspVoDlRNezNRL2c+KGdlp1SaqlJaOxulGe91l4VZdjlYjoavrJ17fvBf8qdaQ8dxtmYMlhX
tondDUhyN3zp0Cm2jdMcBOgMUx8vA19qS0OPmRfH7iMyxUcD2RUTJ+3oiixAmn8mh5c4USx/EyNq
cyo3dqjckvZ1J8jzGAJYTmaIi6abc8OjkWl1Bz0sj3fcy0B1dtp9oYS31Nd3SkHaUNZv7KB40+1h
X7rKfhhUVmHS2pfS9RIraRdsJlbYpNqdaEVzLXq55/XNcSFPeK1YBBoJkec5/bluFKS9iyHeEvmk
P+a9Y3+unZw+dxhH/y6dEwYH3yb0bkg0llc+6YdRE67Kb5mETIXDBiRYqZMh1c/ZhV1hRhetmAC5
Je/hhm0xBx1CkyH0sJzzD505CXGaMxFDzEtKrVvrjrhEPyxQQs8Jio1wa77MBFLhFUoO+OmQIunm
daOqoDpLUhiDjjxGjWBGeDw36ZzUKPscbVZBemPsis8WaY588quyZZtvDyQ9OgDATv6c/jhMFMSx
lX8RAf4RCykMl5zLZ2TeqgHpkbUcYy8gUFKiWFiMc8Rkk39piZyUbCodiYTdJ4wSfeqjQTglGWUQ
T+W2k82bXfXnxJwko4GQBVefPOqyxfhqP+WUtHggSb7UyjkEB1VHU2fsA2wikAnKHMnjhrS1lqX+
le578ApwNTLrHjt2euacZDRF7RO+pU1BCGcZ9xudUE6NcE6zzR7MOa0Tiv3NkIzHjBjPptS4wHv5
EITjLuq5RIfh1BH8GcwJoGpiXTdEgpq19TgQEZojK3OIDO0Z1Wg9NZANPrITLocF8aJ8Giho4ica
HVRaBJCKOYl0mDNJG8JJgzmlNJzzSiUZmrBTeQfnLNMgs2+RgO8bw2qWdaQ+cic4lHP+qYI5ALJY
s81l8GDOGamGWm1N6tHZbqS0Aww4Xn0a2kfgg9uKmFWsk49uwcgHnUvhxGdS3rdxylJmzmdN9fhZ
cYjs7qNtCxVvUbb+s0qkK+/1KprIeCUQZy8Ifa3n9Fcp6r0kDrYyrScfCl+HFU403Y0Py5CZ27Sp
5yTZNAov0f29+XPG7AjOTxXSIKA1OrnE0JbE0RK3wKKGgNouIKnWccms1TSDfbUOjy56snzsr3O6
rT7n3DIHYYQ0Z9+qOupCZ87DjZ3qc6aG5I2qzlmdM3P7rCwPNT3OspkTdVmKv+B7TlflnLbbFxbf
lzmBd2T9szDmVN6BMn2lv0f19qN+Ih3Gf/tQn/1JwTzXw7/P99+5GEwadEaKJgMHJKU/liBabGqM
fnzlQkrAZvex+0WY32rhvySx/N1TzJXWh0pq5FtsxS1PoeKJtOxzW5wHefnrl/Fj2f/9ZVizNQVE
KlPSH59DR+XJVDEKzirJfo59Jjx0GG7xvP/6aRi+/uHdYriqY7WydJwwjFk/vpQgl4BU4w7AP4zA
kulcDQxNKe9acTnDMK0aHpz5DY7y76x8xnv/upVYvFbZc/U1yv6sk+DRv3US4pNmzNIe1zENUzP5
dnyfmbNDc9AKWUKdnUv2j52Eo4JiIQDJtqjk50n7907C+OTgQCb+y0RjbVv8wH/QSWjvvcLvF5nJ
Jg4zk2nZJgYsqMLqT72EO5gKoyQjvFAwgq/MebfjTCNa/Hnf072vfpqyqeAjjgorITwBrIf8vqzl
HcBcbD/vC6Rs3iVlZRFQulrzjglgIuum9tvuKaCYZxOFs1eylyq/bakMa3bgxO/rK3qtil1W877Y
cpqmxzDdEMucKbaKzy+Y5G2aJ90dtaPUl0msjjeh5pCprEsZbooi4TYI4Hw7htjTE7O17zOtQ1Qz
Uv3fF5gwhoVhFtO4FBmH2FKpGbnEDDsujbgr0NOW8lExCwZXrkZ1iobWP9uqFjgLJKPRaaJzb5ep
P6XB0oksf+nmOn2Nmi7Zj7dQtOz0wray7jpl+ruuCMIV4ESzbtsqvklGYek86YgHJoYbbo5jEm8L
2XdORBKiJDvjGiVqPi2nJo22SWVPL6muzBNTMdbZclRLk6DP1jUlB68wWmCwTmc0nlnxgdSraFC6
R8CamoYohvmtkFobZmvWhGz22NJ10+wV641pcrfM6fhrY1EFnq0201VddfIJZXp95dq1vZEJcIVF
ApD9Np0zFY26wH+i8G5eZkrQqeugnn1NgZ+35S7UtRaVRKTLxxiy/O3g4g5hsd8y+ukzNUq2qpE1
NpV+4ctdqVVy2Kd2JPpXq3eCV6Ygttc2hg8MNcyh/7kg/WqlpvhUYGHFTlR/Dg2tqM6lQswurpt/
9/7/GYJwi/v1ybWKXoM/O7R44G+HlvVJdTRGGLo6Wztm0+aHQ4sb2QzDwhD/Psj4rnI0WAHy13VY
46qLCfPj+ENnO4gWAHC5sJ33U/CfHFp/ErYgDB0cl8HmkEQg9afbNubrsA7BkZ6wYCP6IVya1fyy
tcx4n0Z8eXFkdpONYg7ksA6qNhunmxbDAnHHwdFopf0ch9nSaIjHUcsnWDKadolNEXu/7DBRLeou
c89p3kz7wGiTaAfUVr81dFsxd1qtVsrCdRnYpr7h7+PRUlmPxHSUN5GNs4y4wympX1ys9P2JiXtl
XhXsNzorS17xV6FXzKI2WbYC34enzjtt93293ZRjsxOJXqPKn9Afr/05LWISNh2fXYbqQZ/TJKqS
PmuZQTJfh4NLjmtZNWtCqKOD2Yzi6PtTwTbQ9d3nts6wiYnSR89tC8ae4Prby1A3n6GZPQEXfZEW
Hj6gYew+LPO1aNJXy801HCBpKb7C3V46mM31Muh32aSamyZW2qceG+ui09UoWvZxqwGJ6BkyYCl5
0JQIaHnc+3AF4N7WRqbvQsUPj0qsY4fRKnwdZcuotihKT8zLwqrjsk5j0jlNB8EcuiVcGthr+HCL
lcUwoO5rn1lSenBal8Bkv7JPo2lOu1gg+ItIx0VUEeLFp62pAka9xuhIYiXIU7CzeFU47qsjaOqd
btomGq5eFAkesAzWUwR8YRyADFKL4bMIhb+K+4lQZMv0cs0FOdqQHh9W/UVsDEwcQoRzbmIOqwo+
Gb68Qj+rQRzfKMxJrjPLyl6lKqp9WkbZg+wEZoGo/JoxGvs2Qv633jIoi359am3IiHmJ6pc/O7l4
8PeTC4kCXnLoje/T9vfC6fvJpRufNA4zXGfIFBBjM9H8LlGwP9GG2YKJ7jyj/6HcQufkGkxcVaIX
wMhiZvsHJ9d8Ln0stlBOzFoHk//xQ9G3/lijMwNSHelXEz3AQ+lAYvp+X/vLhmb+Cb8/g/ONSIb+
AWa7O0sxfjoZp8K3iqEwtHM9KNhJILlEaFq/dt32wwdw+e0n/gLx+YfnmRurD41TDpCirCITnTnu
aa069vbXXz8B9v9fv5Kf+xl0wjrR6dpZH+xFJ+5sZKIwHl0FUVe3ZjC/rLvHgv1ldNkwidSiV0rB
ILjU86smuwlQXDUlwLFgDc6KCSi77hsWXasBKNWvf9P5bvjL9/ynUTncJR8f0fxeMDSd3efFQ9sh
jdXEuWeMC6wN/+GbraDE5/86VrT89S8wey3/8AtggzQtFGWCQv4n0X9GlFDDnnQ8c+KQ56y5VXKM
6RNRkxaiLJauVDOo+Y6zr4Z6Ybb9tYZNhjotD5adqkzoWkqE0gWCsU0TqPveRVbgJelnPTX2va/W
TB8Uqd0NRsoAPnYl2C+nWWRSriur2hWo8sGJb7RmXOEC98Lp3FnROg3wGKGuay0m+SCAUv0SbO7G
B7GONzCob+vAORlNsqhia9UB8dR7gg6ILbcJdx9lsYrN27xA62whF5iQZkSjtmxB1dvqTOzZjuXn
WhIToMA86LOD1ogrKU9ySL0OZuddaiaLwiBbPHdvG2GtGB1xd0deakaBgLZaOivVQf2ax8kjSUGL
NJ0qGCt+vYoD8Texf7Nj5MMnNK/+frjwxU+XCxCXWjZDPZ1Vz9j6u+nYPBies6vO5Jgfmy338bWz
cpfjxiCmb58SfzY8Krt403iqZ52ijfybOPv54vnVMfHTTEIkSWun81eWMS9jsaxfVQiLNqX6rcz+
y+Poz76Z6ofj6KcDD3LSlIRg3c4QupLb4WsZwAdaYqigi/r1RaD9+BZ/O/k+XgQ/N7K8/spg23EO
jaW8ZKjd4teCIl7TDC2DM4LHXz/hj2f5f56PKnQmw9Lbv6tTP5yApC4Ptp0Y+rlHk5VNXzrlb+ZG
f3YAknj22xP89N4B76GHDHT9jFhhNs/04KmG+G9exd89yU+nrDu41jRirj673WEq9411ixrs12/U
n92SPr6On47HkXs1+Vimfta5tocEg4t17Up0VcO31/I/XR2dopcqr/O35n/PP/klL8YqCsLm//z4
x/rbn4PXfPXcPP/wh/V7TN1V+1qN1691m/DQbxfE/Df/X//jf1A7t2Px+t//6/lrGmWrqG6q6KXR
qWZ+CsITvKe/KI/y5PnPxlDzo36rizR8ZhBIEW2riFVmUulvdZH+iUqE9CgBv9d+h5h+r4sc2jYX
wDa9lmqAJv8whkK6adB5URaRGo8SW/yTuoi9+g8H0nxA2qhK6RyRg0JB/7kyEk4KYa/Vx7PTBNWl
Lcf0OtIK+3OeCH0/9nH8CJHM3jjc5049WkHCc7twpZnddG+7fXMTqnnCopLcG3oYf20rTbXOIvhl
DqqoJAndU2do/tE0ka1R0vP4Ds37igIMhVdeDFvFcfeDjj21bsJmqxVG/BL5asa+s/eJsWC0XxX1
8JSGYbDPyzl+SGnkSs9UAvQcp2DTOd67OkkxifE8+qmN6VpzNk2u9IcszqFt5P0ASsX1uQTUc0xy
zqKNYgQvVolDKIInaumzTcdoWDLLCUAZbmVyCbReUM8wh5+m4M2WxWM4BD6BDd0yiou9zFkfDTKL
d/rkYmlnPnwZaMFnNR7BaxjVRhTZlZmX6jpSG8VrrGDC49oae8g09joxkoOmlPUuYtGyossRMLgy
se6gE20tDbRMZAbxvkyLHjdKdzVVCICKBN1Xq2CuVkx6oRiHOtzHC2lwRHUj747SKuF1hDZ0lUYa
hShWttVo98WuDOt9q8sntPoDqIImwxVmybUGQDEMyqlB3soHpvRatUoUaHW+pW2lULjDV8FyMDsv
bWKfhUhbPAPMlqehEa9KnKvzjoKtiQm3sc/AzMjgBlLAFSgHYxEPg6d3yb3+biUXLn70Sk/OXald
5jq5HkENysaIdlBcvUFv8AWVmPELnseyYmaJnQhAHJjF0s7SA+S8V9PM2w3OxpsuZNRV4yabuTaC
8gFkZeBuszT3OsM8ysE9oWnwQq0l3CcJsPD51uXoy80UROd0igDaNSAZCApbTOZ4MsdiVcTKHSGW
BJ0M4mD5zNOm1n9K9eqL0bNPckPnBYiSB7nmDvEqHTPMBsTBNRlYmT6mF2VsAl9kP9C+iFn7rL3L
oCG0HiHjseG0caMdNVSuLfKqJN8XLhFrNo6qY0Cgx+79DPqfPo291/ziOX2tfzx9/38+jGfy2C8O
Y2RG+/y5bKPsj+f4/NDfTmSVZD7OVLwrjvgx0JQ4P9OxWK+T9cepPB+7v5/ICI+YNDGo/36Of18M
EJDKkuzbD3s363y/LV1+q/y4o/1l3Wa8I85/rxBnjZE6xx8QJyiMGez2U09hI0cZBjFW51HBqoL/
v9XoEbLMkTuLCfM5EtSlISBLy6w8Zs3mVQmIiFm9em344jqu2tdcZZQ2DCF5XUhBbW2DEvAY6/pS
6Uj4ybSjk6Fh1bHKd2L4Mv5f9s5rt41lTdu3sjDnLXQOBzPAMFNWlmXLPmnQCp1z7qv/n1KwFWiv
vTYFDH9gaw4Ge8lqksWq+tIbcu0IR/F4ojXJCXyChetZR5UvLZhfn5uhf2UNTJvpxthuQV/HRiWa
/vyQriPUS31JEqwybW3Y/pdy6KZgiMDOxycNvnIYd530aJTgudkf4cdH71xBV9G7MpgjS3yieVx2
P5ygPnbhTdal9l3zaNjV9WHqmoCSnU+tXoAR8E8c8MHOqE9BxZxwk020rDjGbuornImVjy+WA3qC
G+k0VMITSuQ54oizohpnvtwC6a/OfL859rph2kKS1TGoARhwUqqgdJ37qnRUoQPb4DXWHI6OvXE7
PJ1M/WsYtmupcmatUV343ggzLpwl+Tgx8/JyqIZq4vbBqWdYSM5gOReaV0aVrMahukjs+keq9ieg
bU6gBx21ptBjbg6Tclg1RQXfMBcR5YSKkoAi8Kr6heWD/4ZWvaotULp63B1HDaBpZSgYoEcbLdPR
QDanPg62E2qI00aqjzw1mY1eCyII1yBLugidfq3I7hc9Ga48R5ubKejLArMkV9hy+a5cTK2kOAZY
26FGgSZoPDTuLAvMjdVisAcEa2nnwF+9Pv+qqnQGk67/gRQsoICypGE7rwanoz9a2WW4goLlr+us
LMNTfRx78Mb4WGnLtkyDhYNo+azt8ajCbWOZFU0s5hEXUVbnh6mJLHNVoEqioIV73BtjO2sHJZzE
PXJqdG9VRMvG8EJVVGhbMmVzDRgzRcvOVhyb3AL33lRF2lJJG2sS5hYWu7YcThur01eYHRogfIfL
QB+KGQpYPQhXM1qMTY1QRF7Ax/aqK7us5Tm0j2ESxuo5iss4GYT3neFipiOpnyXVvclQ9EWs8HRU
jYVeRidg9Ttale0Uy987CB3HsCu/SnDKwuOyEfiWQYd5ndMy1kxvHiTZuZolX7qmDmZ5W9W4E+Gw
hqYarmW5/sPDPnIilwLTXCH0XukOMq6IRFt9eOsAhqDtgmpF20KQiVT7zsud7+mgXhmGecf7hyed
yUC8APQIiLk3geSZz4yU0TPxE98uZIfyuJxpdnDa+smhnXRf9H64byz5MHTsQz3zg0Uvob3q+V+C
EbOnJC5O6M8Wi6Slwas2knmcxS4WL7438Zyomqt+q80aHWRDp6TXHVS1WVUkt1ImZHL6TliNeeki
jPq1KwFVk7Hzc8YWkQHQZdg0nQay9UOgqHq9LSdln7BvLZPMqzX4yxjhXlr7aoHjXg6FtdDUpZup
1zWGahOuKaSHjDVCxBUdjeB68FA/dCSdLLGAoYHCgdPUP6SmnAEqGqa9S1qSul81D07N4CCfozby
VAdXDQhKRaqKGDyW+We/Q6dHDodhjuOliOjutSbw7G7uWuwvbVEIYy0Hn4D5GETDNMs4lmVnY/Kk
afeJjHRg63pCJpH+SBRgXZ8UaxAuJu+tPUTe7bRP4C6TNEGB1tadLyPc1n5JZfmw7my8ICXHQWsH
ZeVG7o8iX77svPqTkfqf0SSXJ1irztIybCe23mkzs5eOgsZWICpGV0Ay4fomuTWLrTxuLn0/Shdl
V3n+VMqEajkCjVMpbP21XkMWJpOapLItLbH6RMkgBQiVVkm26BsVyc2BGUlF217p4/Mgo3n2n1yE
NMCAeft3ucjxBt29LZkIf/gzE1HFtI9YT5gXRF9+9aI2BF4MNMByNHh/LyEK1gEwBNUiT6HtiMM6
f/UrE6HRThsSvMuH9Mwd1bZxdwc6b6lvAQpwwpoiMcHuy9lZ6enzAeGsF4vylPy87GXzTmkGDV6W
Cqt50ckBYkGigwGAJSTr3jQokCWgHLOa5rTSQwBoXyT51MGHUF8pLtCZE/RR//x6MJ3/5hXFO3rR
O1LxmwwAIjSYfTUSeFMhdDpUmSrE2bPqvCsz+7Ct4emZEQpRlQlhDJ2Qwu1dAwmsGqyel5rfe0YA
a1NDM38ocMdFqBvdJdvHyAGpFBtvgLyUb1spund66Rp30rNMUfUJatkYR3iIL6cDWhGa6tvzEqQX
GmKBh8mqucRiJFjAiNQwRg+ypQsTYxqgBjWxSgCkzAJxuVMDhl/2NG+CC5vsDh8WqI1BeyQVLt8S
5hmJCwuqQPoTdfYJLrbnLp7MoBe1VZYpZy0SURR/61RGw52C7VOGTBsMuasSEYtJm35vR+2st/xV
a43VXKmrJSXqUs/tQ0rlfuKbWYe5YlktXX84zhprvLSgg3CnG4AmLqnPzZVJ4zvEUnNV4FNcn48P
nfAmKTE6iWnw1sDeT9CAAfRRAaYDm178iGT7yGRqi83qUW4F6z5iguu4OKdGJwi7f1ViqFoCkICT
orYo1eBGN+TbGAmTeWfox32uH7qYKbRRflS7HTScYY00/ZmMGl/qggfsh6Nu6I8au8xm9ZjIyGt3
n6pW/lpQI+p6JkRbxisjpkmNRUN0EjTpWRrVS+hgJ9EYHcoZTix9buJnWyMUU/R2yqg6QnILkyKY
fVfMqUvEwmVvoSY5MsBNV6PQoKL6g4TvUTxkiL/aKpYqhPfuVPfti6pBRlRhlo4Ja7lQ8Kt04+Cs
SaXLrkWgTOJrwUdjbgfOxErqW8tnRquY4bmKp6bTJA3SaApeuKK9PpzXTQaKg4GQCQWtK9sFfMAZ
7C406uRZlmWwbvSzxC2KaddDW6rjqL3oB/8Cev4aQcSZndvX0HymvWWU+G9KNHJhNKVoHcLGR34C
98CR0QGucEC52zsZdlKKU22hK6j+Ww7uxjiBa1oAIaGDqOSd+UF7rBvhqjCSZS8bOA6k06Z3P1VV
BgYTv+GxFsazJzh0zdROWnNRnA+2R54UkPFpursoHO2LXlJUc0KQtIGChKvMsIo6I16XcYrPidcw
d5YOo2r8DGDGnwxxTRaVXYYtQjohyDu4vxCAbXXjNOEGrfPjrIhDHGZwWOwq9OfdqksYbrf26uGa
+U8BblCL/r4A/3znb7YR2cVf/Yx4gsMjFEN/jYJ/RjztgJIca0EqXMpsMUB9qr11VLwMIhG1JXLm
wlnqV8RzYP4IEJ/sPDRD/5mwhaG8Hs+ISEThrYjXIvQRlmkJv4wPCJFqMt639mmLAHk1CzXtyjNk
yo9UQoXX40LUx6khtWyetln33cApBXw2V1rnsDYic5prmrLwwuGzLWXFsglRwkuVAMVxM5mHTX7j
qb2Co07NYVjiT95IM01qvlTI7V8MFKFLszTdI18fzHXYWzOzULVpbrXlMUT/BssI1V/0lvKjRjVL
Rn5vlXcpdWwoPNOFulTQN7go9ecW6eN5AfoF2GDHuC3GmqcEsTOJHQxwvMYBmubkzoRZytzuo0Xo
NdJKCVElD4Vakt0EtwoFLJWJEIis07CFeAgj1stHdBO1CG6smyqnrhqiydyk/DffSVcWBd0k5+VH
odVTAuTjVciBR6HkU2o2jTTEfZDhOw0R++kR/anLRJjXqpta6AGZQhkoq1tj0rrhRYaNIYj9T62E
jntpIiEbJAWeHb5CJxGxIbuBhV0+6A/Z0hXmDpcOwkS5L9troxjPsHMeZhriRVph3WSIGaEALvyx
/UPmuWeAHD97LbpHHbVLSxegRBBJRhjJAPoyAwpkUl7q1jKPs+uwiw+ppL/1IbpKAwJLvVBaampn
ESC9ZKTOXS60mBSU3ZE8Qp8pNVkWRIPyiSYEnIKAfkIkRJ1U1J1sVJ4iGbmnTgg/oUjSz+mAd9DV
kYUaq+qr2VbfbLOfZoiIziMPp5bBC3ycXYovmUabJBFCU71terMK7SlcVGEoqa02DVrgUKAsCQIE
RpxUm7O8QuhTtjqmxSOdyby+pnd6i2SpvnA15TZ3I2x9el+0W1QyBJu8I7XahdlrLkrz2I9HbNdl
g6EotCg9odBRwOjnuraWGsdZeswOppqdcRAy+36gYtGj6ocm7mKHHspcCSv8MUwU49Lc5N0OyZSz
n0/zNIoXKDXSN3KJbqXjTJFWiGmnZDFEU3+cuQoyusDMJpiYLb0WWo1v96da665UI8UyLT01I3st
wQBu1DXFpNsdOzyz0uvLnNRnag7WWZSYXy0nOcWfCElZLRxmbtgvI0WZykVwV6X1tRX7RMeevn8W
5mipYkoyzYCKTuowXWRRfqyqCDrhs4NV/DoqvKMatvhKUbHXhP+jxu0KHVgwYp3Dbu/70yRWx0M8
6r/5VXBimHk6MeXOWoeFdaQ6yUlQYwUsaTXOBQM2RlFEJ8mkP+CBqEVBVQnWTRgcqU2AeVb+LVZ6
jH6QPpiYiotWvvG1KatTNYl0OPCZM+vRappiAW7MyhQBeN9DUk1q6iUOunAfzBFCOKOcznS/0mFK
gUZQPo8BQlY1fwfvv594dTzLw2jtjuVdkWr6HCovmSNWQHT1R4wXzYj6F7p4W/tfVVc7rzvwAFrQ
DAh9VfosaktzFRXyvaE4n/QgOAp8nywpTjS2dTGTk+DbaGqfXZfvvXQzyvga6zjgehegHL9hd4/2
sJaeqxLENWjd96bTYNgOhahIbRftXvRy/Gbppurn1q+O5ZZGo0UeinUaZBwrOY/xWu6tQDr0u/gq
MOp0Jtf9oTnYc0zVh0ndq8YUC854aqZdNI8xFJqNsn8Mj0rCewhatFTG997ofgY9TaasCBxbAOuu
98PbMoeDnSk0aexunAnpx2kKnBwlM6yEajtfWB3Cx2Mxng+a1s0Ric2nkeNd9uRAjQqZzM0/OU7S
MgYqD6nhaOAqvjctigRttM5scKcgJSTXvEZVUUA/NkXVBwxCfITWKX3MJrlSjfZotEjsUhX2Xqsv
SihpNDA/BXm5ChEhXWEvSyoz4sViwNwcLOVmVPJjw+PO7kX7LxQuQuUdPOvjui82Y+/NrYDTWQ1A
ATTlWwYbEL4dLg8dLKxIXlk1am4eApEtmwB6GTd3TnWBNwWSKLjSD9ZnCo/jUTfuopqLMtDMDA1X
QcHDJKGGKKNoXTnpK+e0xEJ7qeodhHkQDnZM7WN1pY8CiDThoJ2TBSISgG4g5gLehthZzrPAbxA0
HLI5/F88EG0JeXwcDZZlVV4HkXJpINiH/5dzhXP9N2TK3AleTj2DQ7YGvRCFGwTPKdX+obl2vyyd
csH7+4EbEgpPdnZbueBbnFBpMa7VxpM0Co2ZmxdnxDzIkPyuy/1PNXbaE7wtoORLGZ2x5tYV8yjZ
Km41uu9h6FRTV3JRkQAwqUBzw/Nh8BdO5rQwSmsECkO6nZyyYuraxokPlW+W50EKAwp3tMZbDUB+
5hb3JBBNoAXp5ZCNPiza8DvK5TdGhxgAZNwl4KUleQTfgdteKlgUTYsWKY5RstaI8xOKUz2aYr9t
TWmIDlNTUqpTOuQzb0juIznKpnT9TnuLrL2SvCMZTV5Q8Pk9NnXeHDWfb51ok0tFYvAkE1Qu9K4c
wpEMj+q8tNNjbvPKcY91hF38QDcQDG98ew3DyilOsjjOEAspA1kYeyDLM86ZaRT+I3jnP3m0Durn
93n0pb+p6s37zpH4q5d5tDBoBSBiyDhaAzh4lUcDtkTwTSZTFW5Bz3m0coASrgGTF5ceWkiiqfTU
OSLFVqHJmI7NgEv/p0Ms4z3sSochY1sK3R1mZiTTr/NoVbw4GUt8JqPvwO1E8FG4C+Bte8u6kE5J
01Dy4b6IYrVHf8ReFQNqjDZ6ZMwN7LuMWwY16s8UpWjQKEDGBnEVVd44oTO/suMG6W4XkzBlhefm
PEkkAdNJZmTf3yqDBEBccxokxYp7z7fC46Fu7lBOmnfci1wXsGG5KYtev+FWh/iJJrVWZQiZB0mz
CrlfSUqQ7PGQBzK4UcK5pCFEA+rhyAThZnFDd+KqHko9AHWnbmJucTQDrpk3GQvLdRv47Fz1JfYl
U0D9PrKU1SEztHZhExlqESG0cB754SW+Qvm0F0GkzfvzVBFyqcSXzhQmJiLkaCL4jCIMoffBNYLi
t6PFt4i/5ssBxQ8s+iLMawb3cxln93He9DNZhDj0jI4jEfQCENpop+YxVncWIL8eRSmLKIni3qEv
wqZH/KyNUgJGnc7wZz33RYhNwWXA5SHoGvWxQxQuiMZq3Z/TkZLmjQjU0OvoKtvIsAruuZqe9z5O
NSiSfQuJ8kOVI+kiAj9qn8l0IBcYyQnIx2adSBICm6aKRt6A5/SnkDwCpyFzFTKCR0+FJMOvkNJU
yDsa8g8/5P17IiUZRXJi5voKU9x8kovEJcHZNCOTkXBw7TyEnYIqQGqQREcm4wlksJeDSIKy1L8m
G7noS5382iZBG7Vm6YnUqRBJVD3gj9SJxAptdGeGh6m+TLLmNMts6LYu3zvpWCQSM5kMTSFTI7Qe
lYETrMnf7Kkh0jldJZF3RIqXiGQvJOtztQwPPOeogHm0jiX67R4Zohxm34qwwAozhh7fBOWsR0Te
FNlk14642pJgFop8ppJw5kYnoPzQEEhFqzS/aqR2mVXpsZ9lC93ssaVJggqL2NaZ6yYh2BS5rS23
1zB476qW0S/JbxfkAwRj8uHUxBZx4FORKGciY46c9tImha7lw2I8qdtjl+R6kJ21R7KtkHSrJN/Q
nE+lhmy8JS1XRX7eYG1P72mcqWOJ7USIuqiU4MBoSgTngqZdJnL9NAHHgYJdAuGatlEit/d+1Eez
PtGsuSrqBY3CoSfkdBQSVtg360wqMOcQVYaSGmtf1B3jQwmCHlYwsVOnX0Ju9+aGqFVQG8ZIVtQv
JVR6T1Q0mahtkla/bQz40w1lT6a117DhbkZRD2WiMvK07mxoQmEKaDIrqhEG4jqilIJeraLV5MX1
J+4eoWSdMxHuC8aHaVKvjZR210KD425ctXJk20tfLxEV0Jkjel2RIi1rIa5Dher1ytxOJb2fFC1Q
rxU4giGnFDbG4ERKk6G5dOREqS87p5S0T03fYCFspLF/jYi22p5Gdb7KvFrB3oM+Y6ZHOqJFhjcp
EM5VSu+icrUWNav+UNfTZlFKJfNbyfxkWH0wM9BWQWbXvEGYqaJtaeJVEerXkYQot98i9aDIo3mo
ZWzmKCUF5J/L8FSz77mrb/wQl8HaJkPXxuKeMWpLUiIcBtIOqQIZIeeyLvvpEPXHQ17N+sAJF1Eu
HetpeS65zafEzr63QXc/0knsemZclQI/0cuNeFpp/SH8dEPuYK9b+SaIMkxDXIwJVHR1cfy2JtAQ
L2U1PHEr50gKh2+xr96PisxTPOM+ahOGaMFMGg/VocdiwEAzwisvInTFJ7KP8Ug/6+NPsW8dy5hh
zpw+22DVu/Y1DXkDqTepNUcqMzU5MS1hbWI4JESSdI4ejTrrLGOkXdwcjzg9OwaumqxCvrLSgoYv
khJLTW+523GQslAKxDkN2ARE6c91NBsN76taQiKy9dAFFxGhGxA5HS/OxFF4RGijwwi4F0ZvYCCm
nU1DPOnzbo561VFuC+CZzQzYU6zToEuPm9hKpj3ifA4yHVVSrbym3phOh5FzG10OyKHM4UXG6IgT
QIywuXIbRMGbDudxEEahFPEem/G6KRx/wanDb7hGBRHIIf7jWX1XOc4VF/RCxv45SvwaLJm20sLs
Cv7+UgoQFGs9eV102lnL5N4xsh8BgQ4VD/lEl1HBMDh3+Li4QFCUEr+ucu2JtthQd95ENZjK+lG0
doxBSKsg+mirxbIygm4a6NVpFDRnZCKLVK2/tAnD6ohWDiBENmCj9/NITloSStEvwuV0iWi2P6Wj
lc3MqF2mkqQsTWYn65oFncJGO5VzHFdRAjxsUrpbhYk6VdVfxWkmI8VCEOTKWkgB5QgIt09x6phT
jJSBNHDSPnmKemYqqC5KFZiZOpWT9aii94zTO90rrXAxPNfWuh6c+U3IgCqDuZ/S/eeS44IzutWY
qBwJwz5TYVUBUWCqbGb9DQj/r5pRnFapdTPq2k1vyou8QhM+8q7RnTZnNdg3N8mv5cxeaXp52TEe
0EIJRZEhmsoxUmBltxH6fI2l3jkRhLgmOMfAi5l0LV+murjEsZDnrvf/M7N9ZGgatJR/n3Z/Afvb
lFvybvFnz3m3Yh9AvVRhiKP/9Ehles67Ua5i1MHk1YBx/jjMfcaO6QeOrKik5LrzoLf6on+tHWA/
oZoAecXgVmCA34DF/gQee40pp3stDC3QpWI6rCDQqL+ZbvYybOGyTJuTkT0kwIYepkGBnTzCvX+L
UWOmTPr+a3D78EI05HUdWQUcxaC+vE7vlbhuCxMfPTzaDecq8nHmxMkxHsYVnXWD2rlOG32NUMd4
GSJpx+BKAU5lW963PAshw5Bwf1KwX8E/oTT6M3/QLrQhaznhg4e8fhuFlfa97QvTPuvcom0XoYJw
Zqsj925GUgzyP2Y4HOR5ps6zLm7aKXIx0NaDyk3pFAzOXEjQyrMqvTFivcPXKo9PkWUmh1RyBAEX
mdtr07il3RAjbkWLo8u0U7lVjOiojcPTskZdJskhSPrOmabId0aV36bYQ7uV/NlC+QPTnqUhmRkO
znwKzDCQ1XMXTkI+kqzdAeyRFiWBEN6bxUNx7yN+zxz0RFHz+0ZrL2PFg0mjl+E3K8J1yvGi5liy
8hKYkWEexgEIVjA5mCGpMBwkSbvXwypd6S4gkrQucuGZBHU7lgyk3QWVxzmp0gowkmrThADRs6xT
62pQpOtYBUKUhT4glbr2VItRL3xvDwWVOWK+2H3o4hG1irikWV6Veo2KtWmn/gWGPyT5QFTnTi/D
1ETwllVE1WRSRUBtdKkkkzTGiwK66KEvAcF7cfa2QAPU15P6hy0mKlia8TqHg239eosVQ1l4HuP6
E6ygNyS0yiWj5gkFBUp96YrL2Z9582RpzYGbT4xDfaHN1ZU7/VuahsAg/NrqqEdoAiAPrRqvPVmH
1vz6fRg981EgV9mJq3qH+F3008gr3Ene6cRrK3LmBd6sjKTNEsKZLR97VukeKnxHZlRQ9FjDiQOf
eGKr4/e6z5xFpeIHV9f5wrXH7/hCwo1ysa9wx/5rEZNmqmUxTK0q1GY05Yi3PkkYrlFz6t9lpxBJ
XQBSCJ6DXXZWo0aQUtWlDjltgliE4PMjvZukq5AqKiOuTMCCzrvOO1JdcMsR6LlZCwIoScJqxiE+
6WgULgtPiJtq3pXXZSsi2HHT27JA7C3liI1mOQUptBxe/vkrfn2JsLJIRpsQJrkvkdrQ3vJ4nFHt
MDJzyxO5hd3GRYBhVgnxGV+cOT5jOHwUHtf1zxt9266iw/H623zzmm++TalvIaej3n5SeNo3eM3T
HqlctJWtlZ40zIddslSzpOfJqNyIwe0ZejocjSV2erZkHGWBfS0HVTFpK+kee5YFLLljNTPPZXe8
Mbzie9IFBfCzIv//hn/81K3byrD5GZvEb88yzEc+Z/O3HJ1/6R89B73tD/pHlB2ZXtPPPfHzeQ+k
oT8+J97Alm9uIQVpRHIF7BDTYPAH/HAn4MriPf1aUgRMnEkx8CxuJV7rxRr9bhX+/AHfs5neP+f3
b/5lq9AwHKL+P/78fMBfH986EAN601FwmBA/fMhXH59MhzKMHIPGzMPPPiwC3zoJXFAPAlr2mO8J
vvA/Xgn+5sVSmEIoCDEOxBieP+rrpbAPWANczwWp/f9+J2xZBJncbMdFgHEGbwxkFdqJ4ufdcVBR
WtJxJlD2dRGMj1gEknTyd7Ger7YAlwG/wF1XKLnu4RYQO3fnLSAEs3RmCYTphx9i+etFQP3BArpj
Ph65/+MLcdsxeAtderhg/1FUoPRzEOzCRflxDd4eA65FUkULfOZjnbmHi/C4Q39xZv+dRdD4lhFP
4zO+3gEyn15Uxmh5PAWNPTwMAnK882EQd74J/QTS7MOPCBmv0gP5APFmVEB00su9XARhBbNzUEAi
Evt4wOEPPyzr60VQcRw3TB0Bvj1dBCFeteMiOAeq+J65E36zEwD4Y6qBHddjANq/K0HZPTI6BzAV
6fty9B9+3h0HFb6loTAO3tfjID++sR3uRZ0kQDQqVJEoiZ93AVJnq+Aya6r7GiHfKUH98+AAMwWh
feQEnhaBvOPtnYByPv3JJ/bM/h0H0enc8U6wD+CymLjsPW4EkXy9XgQCpeMgTPqgGvRQXe1ljEBw
a8elELhtsiVh5fD48y5GECj5tY4q2L7GiMeKZoebQTMPLE2he6g8Fctv94NIG/GUMOynq3j/DoWx
e8qEzputMv/Qf9NSUOUDTC9QERLWcXt5HIQWwI43A20lQc2DlPP2SqCARmfb0oy9DQ67bwFaKQZt
fBVf0seft4ugoIajykyC9jVNEMpXu20BbkR4m4rOxO/tp0etWihCU2M/r85eHoOn9GWXC9E6QNfC
MQEhPn7St3U0dwE4GAfwoP4QNvazrcJoavdqmhoJnpFB+rw9QCrGAZKVxA5KbvGzt0ux+/VgHCCF
Ilruj590W9NZdCEV4KR7GiHEiHL364HPh5St+Xg03lURlFKsEWP3vd0JH5Ew0V0hFOJi/rzp3ybQ
skm/menDnu4EZffOgnnARqCjqv8mWooZDL9jArWvx0Hf+ThoRAq6jfQVfhcplANqTUVHP2BPd4IA
xu92JzCMdFBJoJ58qh/e3QnIWVFEITK4r4vwtEV3yRn0A9lQQcg+H4e3OQO4LBWZe8Ywj+3Ifb0e
hQvJzvuBuSspgfO77rPQMIN8AcV6Tw/F0729y36gnkTaiwjx1GV5ux9QI4cmTl9BDCv3M5He/WYQ
unNogAL32x4oiRGOCZ2eFv1+1xS7RwrnQBFTOQtZv+05AzhLoEYYYexruHwHTv3n7VdazDbTBgRj
txdW7Afmcwgfynt7KHauI2jE02MiGipPKfS7Qls+MAAW4l6yr9fjU4Gzy/XIF42WL1vhKYXmo75O
oRUgHQylQN7t6/W4ewpNSsAs/meb4d1IRhwHlD6Io/taRzxldLvshIcprGXQZXizBfBAw9jPxhD7
qcLY142w+4DSPEBl7AFh/xgctpwGtNTIl/YWvSLahTumjZwGhvU6BeNvFkH4t4jmgr2vPWixhXdc
BI1+G5M3nP9+EyHBOUFmBpa8rwXEU3N8lytB3IssgjgQ23MlQAvCNBEOy77eCbvPYmxhCy/2wtNA
asudAOiTZEl93Cl7GyJ2z501ZnMy7qhPjdf3nVfaMECd6DTt6yLoj1fWLofCFAWlosvPaePbcElB
CegNdMPeZkza7ouA6wT6arRWn+rFd60mkVyL/6NRL3729ZJ8ZyL779RSuDDSQdCeLsm39wPpE/Ns
pDf29kzs3l/QD0DriB7K75ELCIZoggX4eEnuabh45xvwz7cD/Sa6TToezw8bX4BI3xZUaL4Cb3Ae
K669PRm751AGeaKKIS23xMMPH/X1UgDqIZRAjtnXo/FOu/nf2Q+03ixGE0/F07ubkmwaO0Tuyn3d
CU9Qk91iJrcjatNPiO/3iYPoN4kBzROAaP+QTe+EmP7xTgDRAd6fQhpG+MMPUfj1cVBBNhFLODN7
ej2+U3X9dxYBhILJiOY3kUKYgxInoMw93p/7eigEY37HEpNONAIBsAOeluJdIqkcmKL+2t/Wm5Bh
33ER8G7V8dAxzN9Bwuk/ovQrXM/29FAI+eEdFwG4nymDakRr7eHnXc4gH/BLEiwhhM/P3h6KnTtw
Ah2vCVmKZ/oYx+ztJWmyWwxwHf/6fvgXwslP7jG+OPHtAzUZtasH1tcj5fZv/8Ezb/f9A17QTR9I
t6/+pXAXfHz2IylV/O//eW02+MAafvHbZxbxwys9/f3TR3z/4q9e7PlzPf/HVXBXbsobf3j4xfD0
RoXZ13//1//G/L/bzVuyrOiHPf838drvnRF/HoY/Px0ly7vnB/1i4soUI78+6r/78GRzm5XPD3rx
cA7Ozg+fNHW97Y0Tznd+9nQTb1q+kur5WS/eO/t99+dncVO9+0q5VLjDPuDhaV1u/sK9fZsmpWDD
7vwSs7v4r5Os3Lr+JE07P38e/zXLSjbP87NerD+J+87PX5TIRW97OMFt54cv47t0i6GdmFnt/OxV
k/zI4tv6+VG/1kVAnXd+/DrJ78pgEz8/6sXjP+LIrtNhy6IL0v/O7/zTXbllzcXEePdHB6m35SIQ
kMGdn320ibbcYYJX8gGPrqq7bWvyEQf0KKv++t/Uu4vvtq3MRxzR480tF/DzOrzYiB9xRI835TbP
SQFz2nndxbPzbNvtLszmd3/8XXqb3QTbbi+hbfIBzy9v7m6fH/Rr3QWNYPeHZ7z35+e8ePZHHNPj
bOuafMQp5dH1XXk3bHnnH3FSTzb5lo0uug87L/jJXbt5nzsiGfkRR/S03HAFPL/LF1/nRxzRs3hz
c7cldxQ9yp2X5Sxukm3JnQD/7vzwi4DUsQput6yM8MHZ+fmXm5uSkiCtt8RSMVL6gBdI/5rcpcHW
F/iIo3qJ8e+EgL0pb7deZGIa9CGfYhbcedtW6SNOrfgQC07ATVDdbHuNjzi+4jX+7JD8IKC0Q/0n
XuGoCaq/Tn8EVb7tc3zEYRav8id3xQ/4FPXmr8mm/LHZljMIR+aP2E+8xjTe/gofc7BT8QplMz6/
3V93qhiY7/4R/uRTsPN3QA9j6+J/yGEOqigYsuZ5EV4szIec5SzebMseBJ5m91UnMdnmsiYkXXZ/
eL1JgyreNFvycNEW3v0FRJtlSxwWjfedH/5HA7pdN+RncnzU5Z7f5q8tI2h/u7/1hptgS4gXU7oP
eDgNomRbX04M5nZ+/J+Fk3dd92+olT+/yReL/hHn9FvzY0umLCg6f7Mm29qyP1Ug3zdrn9Udt/3Z
6160+Bc38d2m/J//BwAA//8=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B0D6B1C-A779-4112-A462-A40F426BAF73}" formatIdx="1">
          <cx:tx>
            <cx:txData>
              <cx:f>_xlchart.v5.2</cx:f>
              <cx:v>Sum of Amount</cx:v>
            </cx:txData>
          </cx:tx>
          <cx:dataId val="0"/>
          <cx:layoutPr>
            <cx:geography cultureLanguage="en-US" cultureRegion="IN" attribution="Powered by Bing">
              <cx:geoCache provider="{E9337A44-BEBE-4D9F-B70C-5C5E7DAFC167}">
                <cx:binary>7H1pb+NIsu1fKdTnR3cuZC6D6QGGpCTvZZdr/0KobRX3NZPrr79BLzUWJdfQQBsPV7jqWeCmIhXk
YUZGnIiM/Odt94/bZLOu3nVpkql/3HZ/vg+0Lv7xxx/qNtika3WUhrdVrvKf+ug2T//If/4Mbzd/
3FXrNsz8PwjC5h+3wbrSm+79v/4Jo/mb/Dy/Xeswz67rTdV/3Kg60eo31/Zeere+S8PMDZWuwluN
/3zvrJPwZ15l4fr99jXy5/szUEW9c/I60/37d5tMh7r/1BebP99vjULev/tj+mM7ir1LQHdd34Ew
ZUeUcE5M05IPn/fvkjzzHy8bGMsjBtcwwfzpZy/XKUjOVuhenfXdXbVRCm7r/v+n4lv3AA/i3//t
AdyOD2J88j6A8Of7z1moN3fvbvRab9T7d6HK759U1Tv5eJefb+4fyx/b2P3rn5N/AQ9q8m+ewTt9
qv/t0jaC/wXdk7TYVOE6eQOAyRGXRFgmxej+Q6cAW0cWsywLc3Z/HW/D/BrN9iO9M8IMsHdkDgxv
J4e3dw1oKz3+7989qcURwkJKSvnDnBYTzAk5wtQUFsdw5cGWPEzq1+q1H/G9o8xAfa/cgSH/7wSs
591bgM6PBDIFEYw+gA72esuSA+gEDD1nsEY8x/wVGu2HezrADKSnIgcG8vk63rzBtJZHCMw4R5I+
mHIAcoqwxBZmgrNtiOfqsx/fLekZ4G59/8CQ/XdShNlbYCuOmKQWw5a532SDH8bhY1nc3MZ2vkb7
0Z3Iz8B3InFoCKfru7x6g9krjigYX0QEALg9bRFASwjMarnPA/v3bIVeAHhbfg7A2xIHBjBEWetm
U63fIpoSR1gygiGiesFCoyMmkCTUnFjoVym1H+fdIWZAvSt0YGjf5Mk6y99kOhMLm4Lzx8UY4qbt
WU1gtZbCQlOo52u0H+eJ/AyQJxIHhrBda/0WK7I8sjBMVPTSikzwkWWZDAM1sr0iz1ZoP77b4jPg
3Rb4X4Du71XcuuORNwEy6CFe2cN3vZbu4kcEMGMSPyy1aDprR7oLc8KxiZ/osOexEpjLXwzdyzrt
x/W57NY9Ptzi7x/K/zpGy8mTWr1FmCuPyLiAgqf8whILdhcJyqRpPb03T9zGXI1ewG/7jvZAuPWv
gLOdPIMDQ9jdJO8uc2DF//7F1cRH3DLBKR5ZrPGzw2WY8BaYFLiMCZnxKqX247w7xBau+9npXaED
Q/tiU90Cw+787VwlP6KISSbYI9Q7XCU6MgWWHHNzX3Q0X6/9aE/kZ0A9kTgwnBfJOzevIAR+A6jF
ESeSWeSRoJRy6jJDICwlONXW3lTEq1Tbj/buEDMA3xU6MMyXkJp7kxiJHXGKIbkEWcSHzwTwkdQS
FvyDJ2v1fI324zyRnwHyROLAEL4ZY6S3ILUkJJIIAcbjEeEd642P2Bgnm3JCeMzXaD/CE/kZCE8k
DgzhVbLJsjew2RAFE2RhSQC/Kb+BpcCcWhMXbLYm+4HdFp+B67bAgcF6XKd/5cmd/vuRNWGxFQxm
5i6y5hFmmCLIJT5Z7ecx8GtU2g/xzggzUN6ROTCgv8Ajru9LAuq/ucIHQiUBATF6qRgAFmHIPWDE
0KQY4BUq7cd5OsAMmKciB4bySda/hWPNIPVPwE7zx+Th1LHGY15CMibEBOK5+uzHd0t6Brhb3z8w
ZC/WVVjkb8J4cQiATcItQR4Yrz2cpWQmFwQqA+4/27zXazTbj/POCDOw3pE5MLzPNtVbuFvWEeX3
OYeHCHgfPz2WdoHTPS3HnKnPfoS37mYGulvfPzBkb/IsT9+CuRZHJpVMQnbhYR5PKzGhQItji5kw
27dn8HyN9qM7kZ+B70Ti0BAOVRz2ef0GTjUQ1xSDpX4qwpuuxIAxgzIfCzFA/7lXffMKnV5AeTrC
HJynMgeG9Plaqc0b2GkInkwo1RLycUlGO3MZCj3gsinYxE7P12g/yhP5GRhPJA4M4Zt1BiXU9rr6
a/1G0ZNJEKAIGeMn52qLBhkTxlJQE0PGcY/z9Wr19qO+f5gZ4O8XPLx34J29gS0gbxRbWcBgEvrC
BhkoAzERQcCkTBnOdfYKrV7EfTrGPNCnUgeG+AXsn9hUm/7vX8FhQxTjbKzqeslLA0YbnDRGp3X0
r9FpP9o7I8zAekfmwJA+z9W7f2f+Jtm8Rb2meYQsQqh42v02TV8AcUJMCnW7UHU/fiaVXq9Ubj/q
+waZAfw+sQPD/mMIdboqvHuDChNKj6RAFqWPcfZuoA11CVDFC9sewYV/7qi/Sqn9iO8OMQPvXaED
Q/ty06zfZGMU8NuMcGDAHyvGdnx1DNvloFxsJ0c5X6P9OE/kZ4A8kTgwhC/Wd1B3/yZrNlTdQyKS
PyI8ZUgJOoKAG3gVPJnM8zXaj/BEfgbCE4mDQ7gK3yDcpvxIctMCeB9Lh6brNNAqFsVjmDZJcIw0
9CyFXsL3ufgseJ8LHBi6l+viLWYv+FhAippQQ/IiLwqZaCjEF5NKg7n67Md2S3oGtFvfPzBkLzbZ
XX4bvkkRGJQIjWlJzh/h3THOFGp5OaN0rPJ97mm9Sqn9GO8OMQPoXaEDQ/t7/ddbzOMRaAzFfvKl
zW+wYQa2JguInbeBnqvPfoy3pGfAu/X9A0P2Iodp/Pc7WFCPb0okoQ3MI8m5UwyGjiwTdtZAYnIb
2tkK7cd2W3wGuNsCB4YukLnv3HDjvwXNeZ975Ba0ipnU+WEO1WBUYPFEgG4D/Cqd9oO8O8QMoHeF
DgxsIPbeAmdwtqCHwK/dFjs7a8ZqMCIE2PBpqDRTn/0Yb93NDHi3vn9gyH6o1kBo/v1WGjgtSFOZ
QrCXekhAixgLugywKY85X6P96E7kZ+A7kTgwhK+S9e2blNuLI5iZI8aP21f3UVl8bPVFHpKRkzk8
X6/9OE/kZ+A8kTg4nGtoH/gGM1keSco47JR6zDrv7H9ER1BbAA4ZnWycuUrmavQSwlvysxDekjgw
hG/WtxU07MreJLUsjiwOXX9M6Ahy/9lBeXS7x3+gInBP9ul1uu3He88YMzDfI3VwuI/J+ypbV3dv
w4rAHgsoygev+rF9yNSSg9tNgPMCa7/rb79OsZeA33uDs8DfK3mAL8ASHLXbUN3mTxDsaUABlOTr
Gq5y2HaDEIdS/F9L9FZBEVDZUHEENYR0D/K/NJqz5rwM/O4wM3HfFTxA2E/zdVnPyxq8GnsJSQyT
AMD3n+mkh1oiIqEXr5QPiaxJucEY875CuZfxnw4yE/2p2KFhH6zfpB0rFItC1z7gUOhLxCg5AoIF
CSgbfrI0Dy1LbmZr9ALW2/JzYN6WODSEYQKd16F69+GvUBVvQa9YsNmOMKgmABs/fnaSHVAXDCUn
0DRqj3V/pWovYP7CPc4B/wXRA3wLLqBR+Fvgf79Xi3OIy15w6aEJLxGQEDP32PbZSr2M/PYQMzHf
Fjo0tMNN9SZFJ7AzniEKm6QfgrN9WwDgItSOQw/AR1PwPLt5M1uvF9Delp8D9bbEoeF8vxHASd5m
GwBUA0IVKLRofalLET4Cjx5DEdmEkAGfbWzxPletF7DeM8gcwPeIHSbqVT3MiYhe6a6zseoIm+gp
6zlNjUGoBu18YaXfaW7y8OBnavVbzJ+PMR/y51KHhrheZ6FK1vVb8K4cdm0haGnCXuqwDqWiaKwI
55M6Mzh55BVavYD47hhzEN+VOjDEv+fJW7hq0HGdQ8MEqCubZLwhCocLHEMTlO1wbK4i++Hdkp4B
7Nb3DwzST5tg/RZ7rCHUhnNsGGzqeGG7Hphs6OkLe7XwAwUzQXi+XvsxnsjPQHkicWg4QzUsHFT1
96/NY/ci6IEAbNpjRdJO7oRAhgwaV0Gj2O1J/Gm+Si9gPBlgDsgTkUNDuQb39i0KGuBwMorGmfpy
t2YiR7/bmpSdfZqt0QsYb8vPgXhb4uAQhubH6ZscfAKl/QIyXUB630fJ+xgzCLIxFmQH4/k6vYTy
ZIRZOE9k/n8g/fIpdb/O+nPXer24PyXw2UF1v796/5DgbMOJ6GNN9p7c15NhPbn7870FhNezVNg4
xlYx9/Pu5w80yH+kNsC7//kezhqEpOi4FxNBW2cL2oLCgO3m4RIxYZc18Cjgngvo3j6yZxn0ng7+
fG9CEIbHgjY0tmyHjtHgmau8Hi/RcVcIDAgJNwHkO7TN+XV+41We9H6e/Xogj3+/y+r0Kg8zrf58
j+E3ioev3auKLAleA5yuxGBzMIUkDviNxe3643gwI3z7/+mB5kVZ191l1lK5aFovKOycRjx2Yt42
18yw+tOoa7J4gVCsv+vcbD7HpupKW8ms/Prs6e3TBha4qTaQHoaTRqAvMhz7NS5zz7Uxs76IZVA3
l6TM8KUfD5ln1zxngdM1Opd205r1d94URmhXqdClU0ZV7NveoLjpQJVRdie1Rh9gjKB2SZLgz4Nl
CLzqmeVtcG/gbvl7jQl0sdnRGPZWQ9MMyIJBd0E00TjkAWDb60vaWb7vsm5IPjdwhAZdat7nlt30
HY7ckHvCHjjrQ7uPEV2lTdVjt2pyfRd0SmEnNArLVXA4Z2PrNECNzSsr9hd+HgVXcS1PUyUD5UIq
Rn5RQXkWJ63VLUJlsIuwCpp09fu72oUB6q0QHLEIvcihTvb+pp+9FLw3/NYoEnWZaU9+yX2BiW3G
BF6NIqu7q7ar5E3h4eTb7392fNeev4uwIRkO7+MUOuHDnihCR7We/ayFOt8slJ9dZmLAlzgO6stM
VU4ovODL738Jps/OL0locMChlwmU9ovJe1ZkZj+UVZBfigKZ67LNq2TladETOy6CBSrrZHAo6kXu
RNRq0//20owvxfaNwosCve1MODIHmlJOfx426oeBn6XhJS9ja51GtbWOk1EHa0jVglV5bvcIoF+1
SdkSu4xzvtGJVCet7M3zjtEKObSN8tiJeJZ+plVBqBuIvt8URlO4yBhS7lgyN6tji7Khtn//9MZG
xlP9+Wg2oD0InL0H8eY2UIjVVmZZnnGBay9dh5VWvo2NWGemTfs+80/bIIz/8oUszruhDJYsN7vQ
IbjhPzUfhtzpA587Zh41m7Ci/K6xioCf/l5J09oBmZoUXqLRl4bchMVhqX3+OrFKhKgKNL2IzLLw
pHC1DIZVpzsql7qpa6fqSnTdpL1V20EQcKfC2UqRqlglZkGcOCnTj0VipZ3Nk9b/2kZpftIrre3C
KovPTMXC9crMc+o8ikI71DRqbS9S2WVbGOpDaQx04ftYRrYxeFnqkCZIjy2mk48k8q/8PqOdndS8
vNRe+UmT1KAuawg8yLAnYBvMehhs1IroPAks8d1DtXkaMIHPB79rpNOiwEzhrIY+PDFE1ad224vB
xa1luEPU3Raq1Dc1Mnhgt6nmS0+V9YnpEfKpDHAbrzxu4NAegtj7C/jhqrHDrDR+1ClP3aJQ5CTO
s+IElzK5C5uCwbynaXwTSq/jdlOa/mnlVbXTw3NYYZPID2Wbdguzrcolxh1uFgmc0uk7TeuL0mlI
4C1SRSu3LuSHwDN85GKc62NYakjrZChittA8+dalKDgjlSxuLKqtVS0jgywVS4e1YHm1UKiLhmUT
C39pdB1aE5W0P5VfFJYzEI1qO/NJ4y87HeUwOdp20ftNLZZV7gVuoml6nMFXbWg6WOXwoNOG25GK
IsPhXsttnlvdYJs68RyqjSxdVSxe+Gbdo+uWYhPOO65QYkfwJukl1a1Uq47y7pzFw5B413Vb6jS1
+zDps+ou8AJChu+qNTqeBraswJTnt6RPI00rOPemrgt0qWOdxt2pDMth1chaeydpFYaFHZEkv0Hc
oCdRT2nt1ICBZ/clkh3AlQrhZp4H66FO4rZcsLj1kVMlGnsfghIxnh/HPW8Dt+8Sqc+Z0hTeqNbL
sWqdGtbCJTOCyPvQwNRhvlOKQsALR2OVLrMkrKSdlLB4eYuuCZljeNA/yLJ7D2UmHPrqpakTyLr1
lm3Ck3ShPPAKllbmp4MjBgssZkZis3bSoDISu1G9r65UaKTpIvdD8dOoGx4iF+VEr0JT1OLSMjzf
O80o19yKnKxT5dAfK9jzXAWLwg94uvBUM5RLWaksXPYJS/tjpFRaOBbpk9DhndUnqyosQ8MBWMlX
o0gH7EJ7hDh14b/I+JBEyFDwyLPsa5SmMj2hldTJIg40+zjUmtJlZOQEnwVtoHhm84AEeuVVTZHd
wGJMTyN/IPGyLkCDRa4Tf1gI3A3SEVFftBep6OHVNmCqVK6HcX1aUctKXN+jfu3yrAE4Q67AP8mG
iA6bJIZOeq4ABVKX9mlQnmAUmsd+yGPmkDguqRvmoecOtRdbttFWhbyKvDYyHRqW0WCnRTQYZ8hL
zCUuPN8CdSUvFrgPhvwkCHHrL2JpBq09fs/GMpQZvD4+LZ2uDY3B1l1o/KigmWtv2CHMI3KJhywc
Qls0pkE/9UlL6ktWyD53M1nqC6vOYEnyFY9BQKYUnpYXBjj7PuAkC07LPk26pWqtITzD2tefzIhY
a6vzUs8WGF7eZZ11nC4UG0JQvsZR6ia0jJUjWm8R4rD8nrQteBaRHzU3ymLtX0UV0OOGt763ELGF
iJ0JD8axkjzqllnV4MuhK6h5rbSFP2FtwDdaZijhaNzzbtGQNAqPq46Q9iTjviIfQoPLLxkqx5cz
ikq14okK1FXXm1o4qGwBm6DNQLFcgdE9gxVMfqECwdudgpWsXDjDo8tPtJIeuYqqOo4/EpFJ86Qz
o7a+0J0enc+g766s2GDdIm9T+Ok8H4bG7kiqhxWK+Xjzo+ot2CfQq0jxpWllcBd1acGjCuI8HhwZ
NzB1isSPw+us4jDlqxq8Ah+ugU0lOgs+lNjsq8ymRYAA7rbq6ovUCAplh6guu2UHvX/oom9KMhoN
mEwO3BEYkE7i0U/WWfrFg0MsTkUThsIWgRXDe9H7bN1mFNToqqj/SHWH1JkPbm50lhdZHN0IWC1W
KkP4spR++R2aRrHSDswgJKe58GV95gW537h9xcsWHNyergoCj9VBvOxv4yS2rrpaofy4RH0Tf21Z
6qvj1DPSn/0gRxsSlkngQhwg6CIkfaCWBUvlVwN56TJtC7+0uQlmrq/a4GOYa3Um0ziyXItUxAez
B8ft2E1A5JcqMhp/kZAMpslgeFSemFmOy00KBrk/hYbvMDfa0WIvIsuAJ9o1Q7OARaYtz3BVE+Z4
MtENrLS0QeB6l9GPSjbyk9GDm346SF3hO62yXtkpxrw5CVsCQ3UpDgbHbH3mnxQAS+sYsWTLIW8a
fdH1PLmJGlXagqtjM+0a63hoGYATI6yGVZHEeX6Rsc48NzQy80VQZmlz5vdtETjCUmnwCTwRdYdk
BmYETKdq7DhQrbJl24gSVoG+vEn8EoffcD5Q0dgDeGD950JTQ8JgyqsWATdi/9TwivavwEdG4yRc
sfgklAhfd8rwhlVVlypchEMNL2lIdESvujgZrMuUFUlil0WD2IWJA7NzevBu1KINCkCtFVno29XA
U7AdSiUL3NGucpuEiGo1iBLe/tjsfO72Xo+U4xWKlV9bq8efoqCCdw1WOvkF3vVUXWUyw2BgSSGj
pUgD1tpd/Z2IuhXYjuOGf7ZIVrZua/navDC9RDQfS0/JChZ3eKMXRUgBTQgc+u48pDrOz3lVBPSK
dChhJ16XS7ivrjP8i7gyitZNlQc2A7yxWl8kiQf6VzL2lyoQceC2HUInfWnCvO8Z46FtegG/uPdK
H7mLqwcn/yEAv82Lvgr9QE/+/NenPIX//HOU+fWde5riP39dhLdVrvKf+rffWm3ysaROTb+0NTL8
+qN2I32x9ccOlfICWfJxo+pEv3DxZSblV2ODkWmAffLUQuNO2l+VxTt0ytiA9zn98h+ZX2QK5DIh
gyUtxgVsvZcQjf8iUyBLAgVIJnQMh0aljMOvP5Ip1IItZGN50liNCETH2C/liUwxoXBZYoHgDGI4
fA2yKK8hU+4jiudxHZApwOpJ4P4Ygq63fEIGcFz4CGyCvuSKKztuwsoHS0sSl5emXPFGrJXnt8uy
sAJYtofINCCwF3UvXR6S6HtIIJ4CDzmvyxMTav1SJ6qjFi0Kw6r5VWFWVXuVtcVlQePwk1G1RNoB
HfgyUoO6FkkQ/aCJNVyDyfNXBfIIXviyzb3ezvIkdIk5BEtdKuW7pdVVYzhgpBFdYPC91XeYe1FX
2F0ykG5wac1UqJYk60J8mqbtkN/4Qx8bq7D0IrLQuV+tJAVHPuSZvwJuhrlV3kYrsEDloi09vGpi
hsHkgneLYlZ9GZqgxsex7NmwoKrufbcncugWSU1ZeVFwzxgWmQlx0wkqBnZR9yrI3YLk7CZkrIrs
jBfRgoEFXuEiiPVNTJNKLphZJB86wgKyKjn8DS5n/m1oTYi5itKPo8rugpyflAkcDLF4k4n8v22K
jpssfzdFH8+4n87SB7GnWTp2jxzPPhPgdQs40A7og1+zFKqCObCXiFKCKCZw6WmWAmcOZ8tCfzIT
ZjGwpXDpaZZCAaJlUmizAB3hYecQnI/3ZIy2LC7QvI9/b1OeO/QWHMgF3bNg2YeoAA6en7A/ovNL
WYug/hCFujgViTQvqqw7E1lSOlZdfWFp6paRjo+znCfDJshVaVzXfQ9h2BA6EAEk1zIoMlvH/bX2
zdNcpfmyTFRo46EH6i7GMFGSxrTNIlj6cROcQHyIHL/wTBtWcD9wZFNmy5QXSX3T+8V3GfS5bcDe
OZuDkx45BVHmadMZw6lVZF3gOb3ow9M6iWHWeMaxNqqfvswGYA2Rt+pxDvwFjuVJUvvNlwJyS2ck
ZPGFoBmE5+FNUdOgWIi0R8sCi9BtKgO5vJGZm9OBukkSEpswCSs6lmcxr/Si9LFjaaKXVldcCito
7IbmctkkQ2cbngavP8ja46pVl1gp6eis/F61/nmP20WAepcocoFM/6wddGDrqKjtELwVOxLCaWtV
LzJA2PY9Qy/gx/yfXpuzH2ANG29ZWmVgA20BEWWg8LGs6o9BTG9EhLL6pGCBoa9DnJXHVlk4WRmw
49LqVXbDNJKVHdQeb2zKPXNFcdtEtuVZP2Ovbk/GvtmrOotjd0izqz5Sl2A5TrMkuCwRORPaWOaq
PTVS5uYDeANlZqNocKywuGsz8jHU8vv/GY/79R3Bgvzy+v5wdOjUdlholHpmOzhsFMGQiwAaFCb9
lu2Ag9WQgEMjLMisjadkPtkOCZ2rIcUCSVNpQenaWMj0ZDvE0XiwKhgd8GrBLYDF/xW2g4xuxBb1
aUH/RAw918AOjQdhj92bnpOKXev5EOp55od4KHh/MrA8pX81AdXeBwgjaJpeGEBbHQuPJ45RBze9
6Zt2DK+bm5Ea2dhjoQ2sbryopTZdZaXoGLVx5IqOVk7d5GvwC3yntsL1UKrOTSnQ/pViZ0nqQxTn
RVdRCb6z7+lFkSrTbgT476If0HEomXLjGntAccWN3RppswgqnbgB02d1Vkgb8/Brg9l1SLMVS9LK
yTs3awZY03VrNyhFdhzl14PffslZfqJMZdlhkgM1oQ3fkRBR2GE1rGVUXTNWIjjbiDBbJuSKIJ1c
1OaQLyFoz1ziJTnwZeVP6vnrOqq1kxp8oftN2xHLBc5w0RjUd5M0u+iI+bXI/MJWoi2OTQUsaUXb
wokLHNg0NyBnImTl4KY7o0MYLUg1bGrhLeu8OcOyXWEOpqjIV4qqRQW0HolwA8xYETtVQzdaAonb
eoMtkU0Gep71w/FgAdlX+x5YC66dJg0/iTrJwAYWxynkW7o8+pRIw9U6uy4qdBYYtQNRAsSaVnrd
AKR1akJ+oAurbKUNLJaCFafYSv/KVJA4kOU5R408B+Ync8zEy9ipoKS6xh0qvB9RlfhkoWjuZ9fG
oPtileKst30Uo29g/WRusya+JRZddkHVQjhW30oVLOH0Sd9pBVwO63ZTmlg5keqknTbdse6DSzPz
xMJou35Z6uBna7AKDG3/nSH5SQ/dNW7wD8gPnKJ8+B42kXSYpeiC++ZdSLrTFvn9jyQoY6CvC2Dk
aeaIBthgC5XHkVVdQ1h8zCthnANP/akP4bZgySpt3xcfvE7BWhgMP03LcutAx7YVM7nQrEfHA/+J
o9wEkkd/aTRE+GlhEjcBxin2JV1ZRggEMlDxBbbcCnJhjpEHt35cDk5S98NStFHhRODEEkN9D9v8
OIdp42Qi62xg3OyCq2Gh/aywMUSzXWt6jqiMq94zvlUanbKCYjci0WfLC3zg6wi3FfjAMJtdiE+P
Ex5zh+n8NLNUawfAJtalsOyAxT9VoD8UqblulHfOkiGy4z66hEzOWUFhCWS5PMuA+rQJpY0TAfVQ
BWFgR7ppV2UHYa0OKLaJTNZZLL4PPF+kiXWClP+dxrS4GQwW2EYggPQn1mduBDcdMWwk229lYIYn
RSBPhq4883xRnHm5+sY6bwXJshuDsZOAig+GVNcBYpvCHC7TtDqOc3g3B9YPboGz2oXMwcemyVcx
kC1+Ha6qKJCLuJOZDbOH/VCNOglIVH/0RBMA2Z8s0649Y1rF/+cXP4Sh44mALy9tD7U5u0vb/TmC
T5UAY1UIBs+XQut1Ca0d/7O0QYMayE9BHT4UHMDMHFe9p6UNjhs1IceGxkIBaIMytjJ6WtogroXg
dWx8M7bHYFA/8JqlTUyzkvDDkCi774hlwnE8Ywnp86XN90oEHFReXw5JHtpdWP+o+jYAGkZzGzUJ
kHzJVwt7odPnHqSdRetauFVOlTVXqcpPuPQMW1mQbwDv1lVGeBbU0UXPh9bOSXgD5QN3DWpimOtj
6sVoU8dryUU+lKntIUhGpKr4kHXoazuwH+D/fpOl30P0LM2ll0B2RxrDMjENY1G2QWCTyrC5b1R2
WERfLJH9KPr8cwO0pA0sYeF4jH2pSn2SddlXLY2vXtafBYx/oDS8aOLgXOfhD5WL1A4lvwLW/jaR
vlikcGM2ZBbYipD8tMb5d/CZ+4UJ5D0M28dOmbTHQrafe1JUC1+3S9McNKw6tHXMNkzs2BB3ZdBY
rkjYudLJpzYbYkf41sKKxcc8lHelkleh1fU2KXvfRn6kF17bQhq6+Ybi7NbT+XevJB9Unt2aJpNO
HVf+os5afqx4euUX8jgMlG1G/o+E6GZRJKJwWxYndlvkty2WF7HRazcFwtSGnPDg9mYql2EJJlZi
fg7T/bQ0vfPMT9whLKpln7dLVLWnvpTHPrE+9kPzMzSjDU+rTzT0Vx4dvqX+kLqIg5IAkkSVZbct
lw5BUWmTrmTXrFEXgex+JrCGuZ6BVjnykFNXEdCliHw1feujqXvPFWH8yfTJT+Bbm5M+HMWtul6a
tP6WGvWxyqG+ALrULyFDFrperaMVY8n33IziJSnqSxJYyA5jWIRLrC0bmYbNhniJgBmwoZBmBctf
bvtx0diQX+sXqYbkIrGYW5shtctBLFmo1MpTxVnopeXpAOu9W0WwMljt8JEn1qrNrGVdmqVjDlCt
AUx8ZSPdYVsMKnKTGt44i7cG5LrgJe4VYJiSAmjlargBOgR+NRNL32uWkKm9GQQ9DduY2pwkma1K
z3f9JAIet45vdd59AwJV25wVfyGcV0DPeE7Vdp3dovCYlZXh5EZwjDIjcg0eZw5C+QqW1RWki2pH
IUMe66DtbdqITRqV56KDqpFCRcUCklsnzO8hAqubbOGn3ee8tE49UoU2vI2pzaj+S9WycFCFmW0O
xXCVdoycmVmcuZ1FpX+SEBlQN47br0TEVbOoDBWEX+AxePoD0dxvFywEF4V5Kco+caANc9fUxUAh
zQmpFQeLlP8Pe2e2HDeuZe0nYgcJgiB52SCZkzJTgyXL9g1DsmWAI0iA4PT0/6J8XMdVdaojKuLv
i46om4ryIDmVSWLvvfa3Fu+cXBbsbukLeef3s/hc2C4zNS4hTiXNr50xqJrMYg80czcQBxnG4gPW
l04i4mC+d2vnlIu+8LM5HP2A26he0zlipj/a0M0Z74t5QO/h+likmcVPvKm+V4rN/d4tffKpmly3
uNRtZ3HO1NJLZxZ+dYW1ZVKxRTfrthCN1yyvKJrRoiCheHTfRTCSjyJPoakRmfZuw/IvVVBIenGJ
bhxex7Ptkn8mwR9KL1zff10ufzy+58/l0sNX/ZwEURO3Ygj8CADSDwTuNxXJA0OL347CGA70X7Ve
hDpiOkMAfgBybktWRpH9WS7xXG5EsuI7InL5RyX9G+USzzD74yQIDhu8HJ6i4gJWQ/v4+3I52nh2
OsWm22XyTZjJMS9LwGrxkoqlkFhG5TfDWgns5MpxrD561oPsAom6GI7dWrh8HnF8nc0ST2tWzmRY
s2rqWtVzLORY8HVmU9jwukOjjGZXF5gUZn2YmSfi77HbeMOHxRijd0MR0jzNl3WN07pTE/p/6Wxy
as8EWTuuqwm03Ko8Co7FitnLGiL0msEr0ng8j/wuHWzl7a1bRdFej4IGT7XnSLYLfX2EJN1hDcvo
cOiccTnM/mLL75MfzTtRRqsLwqVshgwJ1+5BVvO2bYrq1wKjTxqLyXP40i1j5tSacQxbIY9lJbnb
OCUfAx28joGRfF0bfz+4iyN50Au6Dxb5nU0O5U0bfS/bmgKJE00WdvizzgFq44xW7+dQTTdSdOYm
8tDSiqIhvB56wWvttK9uGFaceAN2OQ0ZK65dx+U28EA7LIV7iDRFF5xP7YuHwwV1RIlTB2zhji61
5PXsxfuoa9+qcA32fu2LrJMj3Rs1FJlrWsYrEZYZDWx9V7nWJD1Wwk03Et70/ZRFDrg/Eflv0jjq
EOgKl8VY+7wRtM+0EuimmPPaVbk4sLW2iReraC+1/h5OeY79KYaKsClHk04aHVA9kHCvVGNOkE3K
lIDfuOA1N1xgSj9V05gUtnRT2AroVp+W+zjOUctihe2qlQHHTrrKfE0jPtl8zNpV42VG/qe6rSDC
9SVkP01dDghGcMidCx+6secWDOjeq1l/L5be47OYhvuwQJVbF6/3knVZqqNRpN6tAFMyM6qJGzp3
2eyFlpvG9Fk+t9XBq7XcVIvm8M+x+ePY/B8FtJsNy/0Pp+Yv+hlOTYpUeWzCPLCbf9yQ4TF+OFBp
iDZq09f/PWPgPIyicCOO2fsW7LdDc5sxcMKGBCHIYP6gh/2NQ3PLefq9ehb7QJYRDeYCfPRd+gck
z8t9tNFdGFzl6vj6Cb0GZKCkXRovldBaQh6VhhQXE1X+J5ytW0VHbXcdH43nVu31e+Uf3ruA5b0j
aJRGl/ujTwgM1lnG5KfJrzG4wIG3VveqqZ67qXlgnvwyT2RIQt+/LqztU9oGRbaGc4HbQL6qUDJO
3JZs0IcEf+kk82D3cVtWSUOqJcUp/0F6+acubjt5o6AQL2ktGzF/BLtpkqawILlwt3cqlfiuLFF2
GdoLdRZ2WGR5KGiR7yCOTZk7tAWW0GP3Ssr1ixhLlgysyROva3dmLqZENeWhL51DAWkOZAaOM1+X
+xpgQ7rS5qkQzldy6drlomiVAmvA21Nj0Mjr/NHro/tGuVm8jPtyvfcG9jSN5plFIqOt7uP/nX32
/7U1GGZtTMd/3b/8d90V7duf78Ttq37pX5CK5KPh2J7Tgm3Xv8f97dEdIdwAQfAD78dt8vNWhFwN
gQCPdfGD92U1VIef/Uv0Xz5huEkRkBhvm+6/Ne4je+uP92JECBBvH8woXidOi9/3L0KHU1n6UX3r
eP1nUUADXm396i3BsfaalpdsTYy2WRg0mP7D3eqLc7z01ylqwDxNTX9sCozuVjiJDi3ZicDducr/
MBUjyaJQ2WQUy9kd8pQ5CiAcpMAiIl1Se/VZBn2djA7EuMq8NGwW3Hr0W04Kk3ROIxIRzDdzNH6D
nN0nUYWVElSVjC1jgPLdrplrnRrCYTBD0YO+HNrYJnRxcRupdtm1arkjC1RJIuobi7GGAxb55AP8
TcHwfFMuO4EJ79J+hoQoRlOhMvs8kOCk2zC+W2PvecxXARm1qAAGOxOvwwG/ZGWRrALtUNOInIf5
0RfDbgmhGfSgaDiZ5o+rFJchbG+6vIP64VGuFkyRDSEPU1Glo0AbU7XkknvkMV/qARs1i6ks9kH9
mxFgMQQETql/aPylSPKoe44CTIPMXYQVSTD2hfgwkLL7AnTt47LS6WaIzG3nD2ZfYwjiZa+/zAJ8
Ulvtm27CiGcDxemE7aL1c8JlHl2kIB/93vjcFtOtg2fCZVVl15QEq8jWGGiY0LGzd5R98B35Lahz
tQcml3iA324UexnmFxCCO9qxF4xeam+1u6+tEZnGIas+xp5sP9QuJPi3Qqzfplk+rL6LRZ/tVMgr
LaPoRXvlNcf1fcQ56B7mgahbovP4lja5OS1xntAYO8IpZIdBLyV3pVskksbL1S9XUDmFaqY9AOPn
qZ3ATTTy4s/qDdARObhKxD3XDLI0/6fh+LGxw4D0P5xzzcs3pf/DOYev+nnO/TjMEJSP57mTKNhG
uF/mNBx+lGFN9odlf4RZDCUbkYDvS7lf/U0I8/bQrMKbgQgKPPwm/DsdB87ZPx5zcHfEaPe90INn
KtgeaPmrqqm6YK2CJTe3bu0/Vsp8ICa4aai5r2YIR9NI5Um4gOQ9eiiXpUybqsp3+cimZJhtzt2+
63m4TDYFNvvg0nVNZBd6fKID42b17ge3hzkmxvdqQ4Wxr+y8YyzQZHey/qDDtuRrqyLuqfni9K7C
UIPlxrSOTuLMQZ6GAyaJesQqQA9Tf3Xb5hFPcgwu4bi255KQgStGsHHJcYuROtxTg0V9hH47YVIK
vur2UbYRtvhO03FXmyPgol0eDSIzFdjakDZvcGB8BL0OAYMEB+U7H5y1wuTXm8u6gaprIF7hTit5
H9glAcaTtfpYemdP+N9G+aL9ZIjFQSloWNNo4UZZbYl3pKrTtp6rlKymy7qlfAEkBH5o0N/sMJ28
oZuwd8MPpMf8aHR0tzhhx5c2c9azHbzTTKMvQcmO6KMoj5fATeMwOGuh74oGShgdI/jQZu8W8FCN
HZnNAHHhI/HBVQ1CmGO4DS1g0h+ImOh97MivM2nvTRsBSa197OI86e1Irwg34ejtfIZS1uVqyOpK
l2leTR5mwuiMYeu42AKjk5ZpGbUPc2Vw5KzWy3ofJprIAPtgMdwNIL76TPTD+EEMrp/kXvwsHFVy
VXT73i1Ppgofaby+eI5o981S8QHHXjnKOFVEVrwD1c472h0mdyTYP/Un38PPsuoeIFUDZSr3Wveu
o0P7Icp7/MPaoByo25Xqr4Wa1JGMzh0u8JdYFYrrUrQnWXmfdD9eNKj81IkobGaT/zZP9m0Ml2Vn
BvBcvYnyA0D51wa3KFd4KUkFNmRXTPYDpHpz00TuaSzLz90a36y9B+pByb2anHO/LNjLupG7G0Tu
cVXlE9fGXIdyxe0zPkqRv/YyjA6tD2tC6TQf8tWXwJ7tc++Hx6ofxCEK1AnsRY0yyJpdZFqok8GT
lq48jcM2RpfrB3zP6dyPwQhSWSlIHUwn71T6qGEv8OLtw4PqkLgsZ6mX02ejSp2Mq8Wcadr2ZIid
k9kJQy6Xoue1qYdkncGBCRcDdiulvitZEPPJ79O5XbxdZJuPEcF2TwwSIHDpcUOw7wDB22Z5XVpA
yVWBu30gR1MojBElk6km9uiukXvsI3kMvbzeM7wW3jMfm8XtLo0As5pywKKgbw90wPrUYWmp1gGm
kQFET+14uNPokABan/lCZQiBxKQD9WA7wP84NLgrRcyVGZ+8ubwJtD0pf7nGVH8Yw9Hy1TR7CDsV
bxustNvKu46zfSpU0PJ6kXcNtfcVVvdRNV9Ms34yORaUFUyTvFHlRxiLTnR2D5CMHoeIuby3rctd
paDb1vO5wrweulrtmiUy2K3Ml1z791W71Nk8eVlIuhOxtuWLsVj35l8K4d3CvXWF2eyuL0P0aKN5
zfNg5rZaP9US3QXtoygDWf/FNCGI2yUHCUS6RyXpzSabZSPUVA534VJ99G0ZYDpirb8HcUEyqeCL
CQqV/lPC30v4pkz+dQnfngz05wK+fc1vBXzL/4lB7IGbgRtx2zD+UsDB0kJGxVC8yQCYEX4OKnhE
uI/nS26PE91w21+hWswwAPa3RyYRpPpvDM/f0AwQUvSnCh76Idab2IIC/IWu8fsKXg/Y6s9qdm/h
7PqUx22wZ5Xv3BDHdhwL1+4+wPl4sC2Nr3OVm51ShZcMIOj0dnNMLbzKBfyBZ63R4dMIcIyZ2H7E
CVhHc3fRq5MAdIfKGH31xgpSWjMdfGZhxGHTMc6jXRF2btphHWZNXvM2XpoknOjT1OoDLWT72Ath
Qfd1X9kU3SjbPWmPdglt/IIz0X+tl7hKlaEt76fpMHfznIhVyfYeQXx7r6T0zvHZTc4m0BOTmyfN
5OSp48FgV9c9sIbhBbrt17yJph1ZWkiuS9cfYUNpeK+ch6GO6rvNocAbJmHg8rGgy5cwTPOC0USg
1nN4Be7kTDX2Q/43U7B7zF/XaIDOCJb2U0H8R3iru9QpyVtXwVeM4edJY4FU9OZoYRjjsFUd8j7+
hh0uBkMpAfLO9zDuXQwjn5tW3JRr/OiVXciDFSeOJu5jF5YEZxY9DbIbkjrPW3BEwctizZwAjv4U
Tbbipis8tB0snah7F9UUKlBe3Bc487nTTNF0WhZXJ0vbfXc3hIW11whmo3FR4uiX5sEyUH9z4KKH
0Y1JQoYJiKHPAVeZhms1895xbI8PjISaw3ZlqkOkdJMVrYluY9It+7qNCB9ZeQRUGF+E0W+khwMk
XkNx79jK5WsRfI0hIF/7hXyvVbAwjBfKTWVJ4msttUjaVlcchi2RDkFTwUbXdieBwi0bjT1bHd1O
jhoSxgAhiUV9byrqc+NhvazJtYPJJrH+qvlQUM09q4BrBM4ehnuajJ79wjr5scJ8lmgbJz2RbYrV
FN43gTe3bksF+8X6McRuwMvVK6bSvQVYd6Ktc+9F3Xcql8zKeQ87UJS06KQSd9D+kdU9WMrmNA9B
RoV/u3jVLZawM0SkmKEolM/ulD8FjWMOQxWrRDrhEzjNAC+bnPOOGO5EqL5930DYdt2HZhlO7lTs
+6p8KAqRMVt/nlz9GsRaJV7lmXQx4zXSlU01mzRXbnsJMNXzAPw7hHG6Z5vfx6IWpK0Iz27vfUWB
9uGHX547n1g+et2uM1gyqmHt4W0cj1W+usnYutephrkF73XG/C5PWoYWQJHuE9DXS6zgpY7UrpS+
4RHJvw7utAs1RAunnmB+CpVKqtLezAusUEtcVxAig2/DFFymHjW6gfW2zzVJiq5BGgIh+1KaL1HZ
3zRN++RV60fPMfd4fTVfKYylU3zRc1uneMGpWMcpjT0wuD2aWbu6Dyb2vyxD3N0KupFiszOfAMs7
RwyzGhRecR6r/gO1zpvsqoeItUECEqmBGuDn5piH+C6rlsGhCWmm896mpe/Ux6Yh96VLWh7BaI61
uFm5oxDd0ChcxEtUjwkR4W2pTI2Xp+o0l3UFLX++LxFPw/PA/QqjffnPSvMHAURRGP+6zv47LO/P
1Xb7yt+qrYtcbCRGwKjys27+Um3pVmRpBPUPC8dfqm0EwRCPTsEaLSRkU+//LQviUWaboh9TuEfx
yFHG/la13QL5fy/RI1cEaYAQH1G7sdncZMNfQhicyPErPdfq1i5wN19K0gXlFdjQZvsYmvouBE0C
pLMOrkHX31kZfaVCTpkmzePo1Wg3vebcE/25XtSpNu1D0RTp4BDF/TK/REFw6WbkFrThtBf+CALD
VGfpTs9r2b7FhZm5Ggm8yhVT94FYd15DSy7XmttcYtaklvv1UF4G6/AZD2VMtT+23ivBPnGG27ze
TWKMvCPSEHVxIhUbxB4wPoWRfowB3jadD7M5EBUfpMnYHcMibOAciU+sjlb66OcD9KW8mUqbxrGQ
9KzLwnwup7xN7eg3ZDfaEWD4YMubEGvAMqljQISg2OG6j02ky0PVYnDPei3cPmsQ84V15DS/WgYf
+FS3z2EX2ATwxj4aY73vCvaCmRQiwNTjnozqaedbdSlyt0+IGSjKc5H1a+5yGfuZyscn4uYfHb0e
h9B5GMMmacfpSJc2HZ3hPE/BbTwyMFMdgzeSPCymeOkcdVPb0MHJaS82bDFsON0hkpjFdew9jNY5
Iugha3M0BKL7TmBQb5zp4BXDCWbNA5iwM5wG14bMV6v0q7uYB+xsDqRkT1U8pjIID7knbpkcDe/r
7kPdrTxsC2yi3f0UmAc9RKk/T8eS0ecmRHWJMcFG5lTDP5tEjU+yMv7eeiqjNbv6k80m7EJptyae
Mpe8MHcxQme0WdPQRmnneFkbyuuqmluEXfA4WBEQQg9mJs/rpC4jKTlttiaBJl057ZACcy1zdTU+
ZlsfcM8wnMqg3HfM/UICGA6L4QLx9FWoqMy2j16E8SPVSGNpvH3E5rM3moHb2L1aACFLX141I/f9
Ah1idZ4C6R+BPOETtrAqVc3RePDVQkCN8/4tpgblqX4OS/mkXPkwSGeXd8EZz83ZEdtc3XKsOVu8
80Tn1xEvIoERMq1a75yP6wnetwTJFWcRejunmG8gox5hMoGXdNFvOiQPYzw/6KWKeS7G4D4M9L5g
k7yCS78sAWlude2WxwYJFthyE+V7II/wfgVzf+uy4Dx5uKQsdtb1aJykZ1OXdib+toj56s5Nisb1
HBbifu5h65o7GEbqOkz9vv8ylAsuP58hIyLfz/247Bw//7Lq+jLFs4SB0z4CuM58x8fsSQeTEQV7
uVdBZ/cbGiaO1DN6bafNiPQuOaUPVBegf2mDMXnGJw5A+a7snL2hyKEYS3VAgwqhzITlrp+9y1Da
PdbmW7QJojHgJMHVgU9rm79ja+56WLGTlpobkG86kYsBNV/c0rw6+72z9/wpa1h/7QgBgt83XzvU
1x1ZnZRMZkpBguHNGth9UEdHBSssHG2lj0EbI3e+zhjcS5sol4B8k0HJy6I7N0VteTU42A+qTwMY
Tb6QZkycZr2iD7vMVfGN+T3yPyJyyLs2AFMpIROW4wNrycchZicH9FPk2HoHnzK6xWK64HGlCx8p
ToDGqbskRuBOSvrc8qno+l1pl7PqvQkkV3GLxICnkVmWSDk/ChbgekemR+uAa4+q2xyhEInsm4pj
d/gUj9izxgUGBBo403lVfn0jA1b9U/t/1P4tp+2va//7A1r/XPbfw91+wr8bzRQh2A+F393o398N
2ZijkVSDPKB/bd//NWSDZsIzpimUzy047N1I969l4DvnhLKPcJbYfVfX/07Vx+rwD0UfnjvY62I8
wgFKPZ728Pui36segQgSWVM9tJjo0L8zQ0F460Ef1ViSvQNF2GxvdJHtwHyk5h07WhCBoHfRO440
vaNJU2QOAHD8/AVHYulm09TWmNV9irW8J8sFntTVccQdrVqsbnhPZTdiuURmiw43WBHrUSNtYUNg
2tBHhAyc2EOCpI44WrhebLjyEokf8hDCSQa1D3Z+7s8owIceeyukiDSm5ayfao1Ge7MqWH+ZwkxE
roLcGLHUXdE7vAVFPPzIzPr/7ez+P7gJx8Xw15c+wlOG/7QIxxf91vFCXwJ3h8wzXFroXqHf/Nbx
EvwR9jJ4IlgIk9YmPf289GHnBiWP8KYfWyCGPvXnIhxPc0WcEzycQQBhaGNc/o6+tCGBv+94t9Qx
GMrx6oDaA0z5/cU/drNBio30b81MXWjH43FaaJ96pe9j2O93ahtBNWbR8H0oFfSr9qPzsI2rwTa4
ljMch4OWN8OkXN5iunVKVwMb7mw6Y/KdNZxZdBuGlbKvS9x+lpiSkZ7yUNFy32J6Bur40HdYIZX9
AtJ9G7E1Zu22QQ6MwPRttjG8jpsBERL504oJPUA+DuT8dU7Y3NwGmOK9iWVxr04hpvsqWP3jOuZw
lFUkSkZoAMjSy8imCXTywU4iOLVQCxBg8BpBPYihIswwsfKKgKLzkUXDGRqpdBupIb3ZJIQOMUGP
qDZhAgjfgWxSRWegqzQSPeMAOR9zsn+tQFbXm8QxgWfrRwl0bJM/VuggxSaITKK/LYOxO83NgNyH
AkulsFEVoi0gpcSuyK/mXV6J7QrOl67fo018GWn4dS3w5nZ5I+8JUiW4hFYjYfu8lKo+BrEDjXkT
dOQm7ZhiBi6IEwIhKpJyLQaRVPC7IGmmlRyKP9sXI6ADphHKQWdoPa7wvf3aAYbrBTj+pvUFR4YU
PFcN4D93qcuD78915oAWhgywpcOtyDpjM7JIoKIfmjz3Um8Go11TU+wo/F47Cgop08DQ94Pym6z1
yzNUppt1KG/R5x2HRaxp0UTf8xUzSRk2NHNM4aeLXcrMy8NlX1lRZ24pI7wR3oIpo4/3Q8lAIsC9
v48JEkEaoRH3hiydB+zLo73dggXwINXy4Lp5no4bdWh837mvEZ0AFQ8/aT8zxgtAsrtIoFMolyni
0NO6zEFCD7weVXEKsJHZCyIfF2LurHXbTDo4fdXQvaoa7HYhGVKhwDyeuhhKvwBRyZd1e4sK0n6Z
TFA+tYgj4kbG7WGxiHAks1AcfjjvNoiwtJTdCi8h3ne0JgD/owmtt5wodqyhLb5VGyfqlmGejaJx
Du5Q7mxQZ1AQscRBMAlv4lZzWEcbjp2X5U45RanumjphIKnuVw+j1Gwf2MY9GjgCUVFIfUWg2XBA
5s33oV1fBxCju6HzLJjuWl8K5Jck/szSWvfsyJYJ9i8nHPdR3tIHyMwfi1gNTuoOFp4sSWbPgxev
+zrhVYWrg/ZQljUsjLLfO8Xy6DmTBwufYAmGzlMLlySK4OLBFWPh0DYL/GtYIiNMCjpk65wcCu+m
7z+N2B4l8IY/Nn15Csv2bgpN4jjhxQRf8pDcWMXGT9i6vk0Msx6MMLwFSJFCR53OFuFVhzgeSjg0
wayIyj0T/GsSnNo40u89sp4Sb60v7uR6fIzDj2uEqL6iXCNwJ8036LFAeprmqMrlHg6lM+ynyJaT
o5+2TQRPWeEhz2iUQTovauZjgWWbxl9vDXie0GCyWhZ8hF7f3FpHfKjn/Iur7OeO4niI3G5Mw0rf
FJP3MleMYS+91XWjxA5INPzpMGdU0KZHkH88XD0wz2YEATg9W4atcOjQu3gOI66asD1CP8DfHFwI
jxXUrW5QN4BfD4iFaZOR5rvSVf0tavsC8L90uTPH6TDrN5Mz2BNHuEokYZ9hCW+CTLXzpSXDV0XD
Y2uDT0iDCY4Y/NBfrK/IsEOjo+YDfuh6Jwn8R423pjULr+hh9jJWDtZkkCliR/FReQenB+Q39fAd
Fuj3i+kemaznmhgsiov6dYjiQ9j6V090e4f2e4GENnymyVx7+HXwIqOiSExhv6OrukPk45CNajkO
m9fUbj5iWt0jVctBLcBOwIeVaajvG9hUvUI+1rCtStYe4MWASgFDa12gYSJo1NrchLyB6TVHamBR
wzABecXAFAuI4i238J6ijjnL3kTERFi7V3UiWPvgFlpn7y3BP73RBvX9dW+EeOCX8U2/mD+PBtsX
/tYfgQZEaAxgF4Su4j/oT37rj/BI5DgAIxN7DKzM7xXBYHvCrstixHj9WM397I/C/wJvCHwG2OEW
K+z+TUVwU/x+l2oTwTu/OTFA7UKBDLf+6RdFsBURCskYqVvXrcUB3vO9FODU4NS+seG4JJMl5jxb
ova+u2KHO9u7tqQokW3zqilR8AKaA3bUQRb7eknExHxeUtknKM5o552JpHKIsLbp2ZrCydzc9SJ+
lgFm+FH7fjK76w1y4M46oNjfxCi5jtz3S/ecR0Ilax9dVr0AMVPVeIAh6SRgioL8EJzWqAAmT8ML
I/RJBJ3FmiW6j6cQewZdgNzRLySgsDwH4uPYBB1mbImFDlxHSTWuF9aGz3OOvDrP9z/FtXpm83gT
V9BswvrRCZrLANc6jFvyqdUQVBwPEZP5dBOu9KFty50nnM+kwK6vFztAQiFoyu7cheoTiSB1SSxP
ZDDvxxk7SlwUL9jjGd7OsB844ZAVbJUcQSNYJ+iZIYOxX7Ioam02juOClFFIPLDTI/LSPygJPQPU
B1YhwATEOnn7oBp2JesBs4xlElRemzhkvfNz9pUM3WNllx3ytRrui/Zupmy3yAZGD2gweWjumA2f
JAxrWUeXT7DMAbibgi5FF18ldVuonV8sJm1hShj0eo+NR7jzZH2avfpNrptENZAnJiGiQYLME5im
b8sxJNc6Dw9zJD70VyqPDAQRok1v2FKWCR43hg3rCE6xRxTZsEKK84cR0WTRJ8nQ7di+xbJLFXtQ
qS2vGvW1CplKywFsIOm9XR0haMxFQz0sh2JB7EfTlK9a+2/Q09/QkYuD6Ol1C2mbR9hDFndssnKp
6Uc/wLIXIb8oOzC1qrY/QbE91oGH5EO505EAfoJQzGyZZ4JFClv20TvF2AZ2yKbRuS+66Vu8VpNO
AhepLS5YnrWnBiEu/Yk6PUl68D4x2xgSkkP4icIopTQ6kA0RUnp+QVzjY+GqdDQNoHAkxODSxXUU
Pyt/9CHeADZC6wePWizmrAotEmgQSYZSDjxpqDEv+EH9EENFZyT3OUKFj23MoCAaLIM3zKne/KVh
WNssApa28zcciuFO3zkbIuUi9+1mIe19DnrK3zCqATwVrDHwJiGE89ghAoLLYUKu3QoqhoLjEe56
qxTulHKDtBArc5eD2pKNi/34BnIxEF11y74MILyMui8ohc4M+CuKmvw4M3Wdwb/zEYBYTNQ3amoQ
SkDHsOnqsrAyVerMTpV2G2E2BRtX12OvCq/AHgAQUHmyIWn6XJbwnkxZofoF5hJcBmOTv8AANXKy
9Jd8o9taYG5zRw+tJ+FBAgDniOqtsrhlSKtwbQOSMzEQ5o2ai2E12zTOR4T5fo83tE7MuO78jbZT
Lbh5ZBhzpwPKM4q+PTtkDi4eOD2naPrrPCIcM9ogvjBe83TewD6b5yoRGrCfnMbLqKsIEBpAwDou
PkiNqzmgwjvqupQZzfGJIzITwdPLeq/yjiFDCDECphnXpANx6PfaosPHjSXXPof1CWDi/2PvPJbr
RtJu+yr/C6ACJuGmAI4nD72dIEiJhPcugae/C1RXtdTV1TdqXoOOqJZEd3iQ+Zm91wZkE27HuU+D
qunFPl69ZMgYMwizzDuam0IYJywJd9hw78NVSKPp4zFcpTXGsmB36Kq2Ta9qqbXP2dcCw/paZnSs
NYYfC46vZUey7j2adQPifC1D/qkJvuQ44n9aeH4kJP65IFg/6ueCAFiNBqnJhPexDiz+KAiYpaCm
RY6zivYZj/wxMDGwN8Kh585nrWQQ1ckn/L0gcH/jkxDqZgMZ0NH6/z0Gzvqt/VoQCJvygs+FSlfX
GUH+WhAg8ytiJHPqFajUdV/GkW1pr1X0XXWZ4YVAFa3yInG4jZLJ1S+mmj9vdfvK0sqroam3mFFu
82F47brFx/Ynd10WP5etuWtq+9YoncvaxffS2S+IgmrceP1msbNTb6KXjDqTpzwaHmpZ3kOFYsDn
qjjCsYTzlNQvYZoEzFhPJk10oTVvC0pwLV2edc5jv5D9MTbLjStT28+WZN8NiAHScnnWIns/xVni
i6y/lnb8krLiX5zqwk2bZ2HphZeZ+qcylU88jo+ZxvOKtH6LUn672Mt14mZQZYBhg7Ec/AmyFqsl
yzNCJ+NumQ5w/WEDzGjrS7GzG2XbdiNtd+E8gneXXt3P9mHBhIkxWZxSNQc7Pyl7a0KXqiVtuB+o
0kGoH3T6sKm2bqd6uJ37on3Izfktr+HdWI1zjGL1SS3ME7POwq9VeYkZHrN+ZCsbMy33/aikvhyG
kxDdwUJr6TWheZy176goX6NweJgdc0KZiEFzcabXTO1WHLRxmdviw7CZ0rqm9mAtIQZVVbDloN2C
+86FOo0WSJx5n3bckM60qVEzDB2vWRTlIpjmKKUZyeCktGfGxVq8Ce202vUmHIQTIIYZ+USt9ofK
waPUr/5ZeLdYaZtKbe2Nnghci11n9O5bPjZsEntT78E7s6nypMGkbt2+QOzMRRxEcdP4tXAvi6Fp
NrhRvpVxy9kdQp8xBEImuA7816QG09J9s8JBAN5tPh2TmcgcpsFcYg63NRhukZnd2ks9n5CmnZWY
IRrqRT6Hanl4859zKV5KR07+KEf4ahlEN4VFGdfV97TuPvVZfiyYFzyQQY8RHgsPy8+lOsIMyDr9
1JZKskmn3tgIc7yWOjQkw832Im5fICgBGFdEvjFD5wUNKsphYQE4sKfv9GmTV7JP5p3TuwHRfTCM
WUBe5pFyjl7yEfVMdCxl+l3ILoBbf9BLdmXZcrLKcpdW9c1ocOVg032oBVBZq4p2eYyThdkkN7v1
FDJE2Zn8iaNNT9HS3CRh7s9C6S6m7gXgf4ewjH0yWtslCfhUuPcppeHaQGJAe6UocefnrQSFsO4J
0ri5HVapVhbHpwXt1oKGC8vNJ1KG1s/F2KrbZs7ab//cK1/3yprC8de95mVVVn++VdaP+f1W0X60
hQzNdWKJ2Lj8+1bBNGohOFEF7o2vPvPftwpGDSShqE4oTCHUCFiKv98qUBlxkZJ8ghB0bU//Xpvp
0gH/eqtAU0OEqumIWVCO2uvf/9RmdouazIM5WOfIKJeLhjIVtnXFVE1QFUYjaQhLOOijp8D7zAOn
D+3qclYLtsBDks4UqqaaXzpDotLIIHuy7AhWxqyITagMInXhtZQopYyFsR2kDVbJ0dM0FEodLGok
FE54W3FrsGct23J3NC15M6RIl+1YYVTFip26DpoMo6DEZ/i470uGUt3q2kIxOHrssb/McN02HNT7
FJNXW1r5Bicn3nz1tlx9YGQj4AjDGlZXxalswgsNy9iMCNJDixZ6dV0wwT1AeoNCs/rMktVxlq3e
s1wCz0hWP9qwOtNGuaCmcK81lTs2x7ymDLjYuBKxgKzOtqlwji1WN331vCXD+NyvLjgNO1yRqGZQ
YJCDMEMXaI2Wb63uuXBset+wFxlkvZXTFeGym3HoM7/TNyrGkCBdvXgTpjxFyFOuwEQbCIHwi1D7
LmVd+YPZMX5r9snq7Ssw+aWr249Z0uNgIphNm+miG1Ayjqs/kP3zHYPPbWPjHAwzNK/kBHhhG9YH
EcNUl6I6p3p1i53eD22ILZgRY5mW8O4aT8OIMWNVFDD4YXCNQW+o3ggcM4+F4o91dKSqxo/mWIzA
EA3qvUy9Nq+yrTPbCpKFHnD6om2zvE0v1HnZaVH0NNCy+1nlJrQaRsKhFlEHwE0Rbu9rTX9clT9e
o7ZPUTXzTszM0zxrdz19mSXzkZE8dNsyvY3K8QI+SgD2feBQXJJNSEgBZ7gS7tssjFmnuNeqWdkb
pzE+qlzr9lqNe9gsq7Oplf0uNohiMLIH27Qe1zkG6UxXUN6Zs7oZRUfOjtPJ022aF49M/Ln2Vl6m
8aLWiFDs1ETWnN/JzDyUUYNxJYwLL4b1Dq8mHXmj6/GprlsyElyIgfE0PZXspRla9gw6pkdNdPei
y7i422VXxnTunYnsARGi2b9LO4RkU9INDnaGeTLTgoohQmD0w12YojKuUm3YVHN0iDoR7Zue099a
XojreG1MUHEyoVFz06TBFCM0X6jDw5hwnWqZwG1hxUdFqY5kEr2ViwN4J6J91ivtDkX4NmnFfd2p
O8WorkHkwAhPjDtBGlPgxCpjDMn1B6UFmbbig0beyiR/SoRd7kptfgNfJAnFiPbD2IoVwOb6pQLu
xijyagvn7yUtm5HXhxItl4tzcpkIIN1Ud/S67cXqlSkmmzepnosN0CzLs5Rpm3fzlaaJjzaPR69q
EZXYNqydMD62BVsfS5MfWeLepoJVxipM9bScu79b5s9ppEljnlYGYaQLhh+249ddr+1ye6pwcA93
Vpjx1lFXCY3GdLmqE7pcoqTIy0F4Hck3K+7LTc+dvpGWezmYzSUSt4+MXJugktAy2mzmDUXoy6Ko
n+0kTlGV7OeleiETQd9Y5E7YRjb59H8nRhbj1pHKCDHIuhXwGA8RsA0PNR50PT291LLiOC/xjmbz
hJn4Jm3DU5Gnh7hv7sKYbYp0GQZN7QXorCtLqe9rZAQeIUANvs3IOrmci5yNLAvZRTGiG6ZdmlVP
JTgtNPTo4nOwkmY4tRsw+r2fjNOj2/UDs3d4HWNZ88mT7EUaPWR6YI8Z66iVXlH5LvkK22yOn/Tp
Y2rJvyFDJNmUs4DzVbzImVdUc1H4T72+CcfqsU1hVhmd8gjS5SOOejZYmY2+21gRfRUab4GOSf0c
Nd4MdWnd1y2/sEloRmDm2Gu1qGy2DWyjMSUXxsAQtUZkeXk+EmOS3fKjBtMQXy2FEFsT74sfjawk
l9y+sLncyWZSD0NFfzGEjjyIybzT6/AZ7hEI/jz5KBAgeaGgstOmpdx32fhglNXiWzahNKRtjW7n
/VMlfVVJKliLv66SmOL1Lcn1Vde//blaWj/292oJhrVJpq5BaaOtnpife3D9N+Qy5u/+1J97cOc3
+H60xKau26r5C4fWppBiPUW1xDj/b3No1VWR88tQHsUExtZVucAU4Gtp8HO15Bb24pa45q7yMSFg
yW9pl46Aa8SxRB+Q+qlVPMxpRP0ilQunXE95s6B7TK0gLnm2tD69l1F/yhx5N6ryYg5xgNax5VK8
O1xwyXJ0k/5xKuazXRgHM6GHwQvuNavhXEoomwjPJBSAZGGiV7AWhoyLHtF25Y6h/afhRL0/faGU
k2z2CWrQN22mNPSWYjukqQMgla0ahNOXmWvK63Ixb1jcgZpr63thYTAQg6LTvkS+geLIn6feExFP
Z1uGT7mrBb1uYVft6HSS6d3CTZKGTQGS0P6GJS3xRyt5tshBoXWyDgYGiKHhMCbt59mCI+TYaEzD
ydjGoEM9oyv2QOnMYKwc1KTgv2faE0Jy5Dvn2nvRyyu1ihsIp/1LorqJX4hsl2XywDa73GoSCX87
clYjof0eUWUHUiuf6wqZIOBQY2XZfVihvpy7bH5LajM8sWAlbgylpsfJsVFKR7vVEVMEgrAqPzGx
7lWddHfTlJ00sxkZwLEJ4VBs+y2haf4i7ITRoV2hGzRUPye7auPEzAEjd8Hqr5cdlbFDLVeMqLNw
qAZhrsxARmwGMQxb0DEQqDWrSbgp1S45MYPOd4AN+zvdHJdH3MlxUKmE0GRdrl7i3eQumbLspWrx
EbL9tZ6ZWBe3Xas117GlJwdHayUlO3yScc6rIyExLYt5IdILGEv1mpEkL4Z2yTkSCzV8l06iOAFZ
Zc2h1NUbyi5tE8dT/aDOvPC7kHyFV4XO9lM4zK4LF1z41M/DBkKVPxfYoYHd4QpZ8eJdS/oQvPEe
EKqEP97AIe/gkasrmFxphnO7osrDFVpu04AzHwVkbq9IcwHbXKyQ86ZQydFbseeaeyJcK/KyFYle
rnB0a8WkL2ItdlZ0ur1C1KsvnjpISxuXCQtsUOvVCl1HrzE+ukR0HSziVqFwAWdXHDDtHbx2uYLb
izoFZAfK/Z/D/OswNzl1//owv/8RQP3nc3z9sD/O8fWwpjkVMNqYl66ggT9mqcZvlm78y2rB0f+7
8gy43IodYKMFyRdhIY3y7y0vIs4VxfoTZ/xvKM8Ah//nIU7D7VI06gSpOXwrfKWfD3Fy5qTVNF1x
XWq1EJedPjA8xY7OFI8aaiLfQ8qRSWFu19+asXhdKkoxqZR3tBMAsu33eZzIShuifYsOrYFZg4mR
BLJB2Ge1p19Ds4z5uqbthHg4BmY0x7A0Ld6cdXRWcBP74xijAgqrq27uvytWVnumO30X+Abw4Xb+
4CIUqZzkJAUmDMNNLxVcH61amUEFJ/FMkBr9V8jf2XP7HakX7r+hfR+Tfgtgc96puvOuSG0bT73G
VRTtbbs/A0VlQZsxaDKb6WVylIe8n3M/zbQ7w+yfI6biOIEVzJGGYV1FOMg3cHRQ4ptZu9Hm6I0B
FNBvcxw98OA3SaJfVaLJ2ZDodyrdIUkAyY3U1WOhmh+iL3ZGO711IjkJHYhrq0B2cpjCuT3/2t0X
avs8GMmhkoMVlFn0XHXWs5u+G1MVQLD61rnut1bvrtoleTIr+S0TThHorLoD5obXCt+s15rTvogT
BaylUhJANUTbOUvukHOdh1o5L0YT+qnKmTLrKLLMxikALCBfNTVOMKap14o55ScI65HHbttm/6Sd
0tiKdqkyWNsmyi/jZlA3TicfrE456lODn9Huj05FU6q6xVU9C9fHxuYc2rrUqdZXh0laBW0yxKyR
cmeX2XEbpCpQeGsM5cYcwAFoOX9rz/q+xTgeOvY2T4ZrSx247EqWforb7FrW4xLsB5qi7KCbEfax
fopAyix0l2rLAs1s/VZXwh0PWuhPgNlVWz3H/Cr4l+17qrS3XKzXxBQeotRGrqinO5FWDwWLK1eT
LHQX66Gn0VWL6LGruChVXWE4j2GIWRCA+8bFWDAsz2Xa1EGEE515wJMyDB2tw/SguD26+QKh3JIr
zcYYs7tZ0ecNJCUaGA2/ZacUflLVl2J2rzIBdLef2QI6FaopOU4bCT31yp6ADilp6+DYT3Q/zNz9
1FOBZCzf3/qQU1vt6pBVfEetkKVPQxbYefJg9FrOOzCxNzxrbHZHLC293e/Kri+hyrb1XmrswI1K
Pa1xgdgyl4CEOiBeinLDpjrezGWDtUUvzsk6m2IVYvlowVpfRsuaXvWWyQY/sqHeCeOozJ+Zyr5C
idrbyu42xixTqGlMEkT1qFr2p4rwD3GZ+GwX9cXt3AvYaed6nu90uG6e2SkxCCWGtnPR3MZD95YL
KILJfHCq5SgGNyf/VFJCkFeMrVT4rTN/6l37iujoNFX9TV4rlz3tz5ak6QB37aXhjtJnBIW0qpyI
8Vv9soMbU6H1/We9DnRygGsBs6u3BDAR2luIHRV6Ob3Cki0nxzr2iB1hRiuOn6fimXq3wRQD+WLM
rW89oE8PbFUScCCfuEMRsXbwguNlPPYhCHa9jW6tWL6liRkxYcnElnSjnOhIjA+daPYWeR5NnKC1
i+VdbzZk4aXlJpfxxPQiwfRUmi0PXcUj4ViXeUvAQCXDc5VDwRdDKH0bMVtI1ENVu3duKPaGnB3f
KgEXDHN+G9b1mXzXZhv1Tv7cTsw4wmm8UJil+shQeLDN9MkGuYvVbCIo052wY+vxuyyRogMl3o5T
eeRAv51FNe7BzYKn0oebWsCRTKBXjQDCdrCPVrGcAaDEqu5DB+pHiK07a/KLLh5vKBVLT08ZnSV4
XO2qxSAV5XzsON6ZVursl3J4B5ixiopbdJgl/A8rbQDtLsonjDHui7hNKP2UG3Ih3y2DZ7vJGUlg
jVH8XLLeYYRWnlXUnl5bNc8ai3yfoGQ0sjO6FENHI0tzS3nEmU1YjbpNE7XfggV+H9zkqUJD4LNG
3s4gTGluGclx3bX+ZBgAUqQabVF585oSN3owjGnvRoIY1RipiVGZmP7E+BDP2c3Enej3qYMeF8Yf
mEsz8iloebs5LCAGclw9zK7JRa0sU4Co+nJmVLQiLVnlq9PkKZn1YPbzbp2JmtUK2qg/pMan60T6
jMEAP1BLa2IN5QW9W3O2zQWHsgowFV2lqiHWhcMKYUxfS1C1em7yND90S/Ng6Dz4eWk8KbO46pP+
+9TkWzdMH7jsVaaWmBG4/+GIRFf4Ju8Ri+wNhV7fjilF8Y0N7NuoThnO2mu6YDWKiW/FZBxj298S
WSlBATDUb6p6gdXt3GqQqzemGQsiRWWJjIEEuzEfwoPazm+Wwpuhj0d9m2XOPcKczHNC5ZhE0RvT
j4DcEvAsab2rmoqPt+trBFOaV6G63iia+a1OJZ1ZnxDySKOUNta1OliPlbB2YZ3L/RIZn6mKl8LA
mM4ijZBWR5ZkOyMv8XrSkD21wt1Rplq/Rhi7cIK0Fwv5uysyMIuYrbyWMXUQz6y7UohKvqWkb/AW
L7NkIs82CVO/GRn1jjkvdd/u4JuRZGkQDQuadp9GvSQJ3OC+W5dijQ5QABAMszbX+Y4eDbO/E7Xb
kaQv8InjSP8y+6Rnrqeq9VQ4kcY6MjT9olHu43Z6aF08ZGXi+tWUs63UENoPTu8TINZgM43v6JVg
mOb9YYgAvBaq+yDK4TrKp3WK1OMkq9FiNhbPkzH2WxkBpNOz8qBQOfFApqo/6d17HRWs97jPebW4
QoA6WkCMlib5mNinKrX1aanKvWKQ3GwXq+rMzT5toh+Jrte/jXN7IlielaxtfutGe9c4A1bxSDuG
pVEG7oIUX1rZU1TAPmgkRnWHlhwQDxTyd9WJLigMhOcI+lJtSI+1iSarpvM+60l1CBuGoY6TvUQK
ah4cr/da66DoH5Rbu4ACoJN1LdzpSVJzeVYMR7ivq3LT9Gh3Z3OI0Bc1/DhItjxnasWmqsTJaSqE
PjOrbpsVAM/dp6WDMOY9IzdRZmzVcXiuRx5d1GE3eVSuFj3j0rCSflOaKXrbrL6zEn5HJispykvJ
Od0SEiPactta4qg5/be0YLaJO/WpkTFn0KA+YBk6yjm/Z8NfBFPHkWqr7+PIQNoBpAz2wZ4C2rGL
GlZyqUrHw8OKXbBGndNb6YdLbRyPRHOwPflYivbIWAU0EB5bXS+fkzQN0PY81CM79o4qjyxc6syG
d2aMjnBHrh7f5GDvVNl+WjElnV3JF6Og5sNm4Cd5+ozp9hAixo+z8g09wHvaD1dCoDVLei0A0Q5r
rOSmNJr93Ni3MtY20lwJi011Jzt3zzb74GIvbtT0ul8Mf07wB84Ga9ww3wDkvWgJqB0SuIqmSnPe
pRrT4sjWs5u8XKznuUos59wo5sgfmD1abLCp7Gpq5Z8e9IfzD/Xs/+hBg4/8/86MXT7+3IWuH/hH
F2r8xuCJ7YD2r1C8n7pQgZtJR8Mrfqd6/tGIYo6itIHYSybevza2/2pEsf+hrYGHg5vKYBL59xLx
6HV/mSUKCKA0oixfiR6hClvb1J82r33IDZovpX5donhXs+TCjriAx3nz0ytz/WM4+XPw3g8b4b+H
lvwkSI/WsSl6ZgP31n8qiUl+zzCAZNO1ifX00BM0LDbmMvAscI9VOt2FMtnI2vvqyp2HiyarH2wd
Dg4LEulP5KdvslbLTmNrugFzHNU3Zu5uTrCVSNo+Tx17ssKJIaCvzqW4y+/g2Ti+XufXlUpzrGFN
95xGbwKHvGD2nRyQBTufpgB+gmfLL0FoBKyccPtk5Ta0xi3rgj4YYIIGHUAZqusnxbEvXepljx/z
ORaIddDw3qEhvFUKSVNtnvuEhTBElDWXwj207niewiJijqU9EO+Ts9ziftLX8KBh7G8IJN5OYnhy
Hegzkf0aFfNLuyppM46OIJ+Ta5Oli0XY7hZExN5yw3bXxS2/obZ9qKxonziCcgiRBU659xIZ03Ys
1JrRFQzRvJKAfYbVfoOWcav1y6tW4FFeRHolHIaDc07UeG0EjZW9Drb20HbRZSWLwau0+dZuhh0T
7T3iWcXrmfnxjQI1YpOOC0w375S5Ztfbs+6w3Ve3R8RqyGBomJR2g+AAxr/hEM3G7y+lAR0+HdZs
wM/NSwju7F1KLGYNAWOaPZ91eABy7oQ3YWLeZlp+TTJ0uqUo3LFUueTupnPTxM5dl+3xhEhJsaiT
6sZ9ZQy+x4x3W5UQmY2le0wsOHYRKcGe0ed33TQcNDMbg9ZQv6k5HWA0zY95kpg7aSxXugRE18Up
K/yl/a7l+nd9ygkOY6Fb5e4BUqXmZ9O0w4t3U2ROwKreurCNpfStvPy2pDVrHIIvCspz8rvSQDR2
tp8GY2dTfepGuMVqQ14xbzGqL8G4RpNx8wa7h2plcRT2YEgNqI1V7OIjA4KWhGwxNWVAXsZWc6bV
V9PKY54jv9FnzVdDpKPC+D6p7iExte24oCRmmVWPj5lprO6fSVMXD3UVsVxSS4Is1Q8GUljYVud+
1Uk7zRspdLdapnw4FGdeQ7JUxbsRv9fITqDrIfFxZ06ZdlAKE+caXY3D/jxQmPKbCYEkYzcmeJmi
6cVK6URlVF9GCeSqrpYk360B4d1FnQK87bv9NPXPS8idKlldj6lKjnp1mVk8skaZXYOkREygHBZ2
98zC43izyBlL5Yh1fmKrl0548OWg3TJo2knGAxn5dKjYcD9Z9TNrQ3CZh1i0RLcr+9my32Sqvi4m
Yx5Q9h1hPq+5uBunDh/acKwrlBRkBqWUHvoWzTLhQj1TI2MzGWI/6sa21ciQSZZ63Bl22m9VDSdk
NIrXUmi0K9VEvE3bMv2oAS2VV3M1vQAJwBE3i8e+VxEuKqlo7tcRfeQIhHuVjhLi/3eM/spDW09R
rgtmmpxDOl7ylbz283FN6oMhwtmaryd2qJ7YhUd5V10ijPOUt/Kp3mQHXEdeeCJDDU7Qzjj872N8
tcP+eojz5V0aV0DxuokH69cv34aDOSrWsFyPNvSSg6tSTclXpSp+rChJvf7vOa3/7evozCxsAjYs
oapriutPt5Lbc2clBLVfa8lFzB4nzz/Ip5mGf61C//Lr/Hr7/Xg5eT25AzWGgyA0f/06DSJ9c9Bi
9doyT60FTZmOVjz979dM/Lff2c8/zH98kSFW1U6Hs3w9brtHGJybca9+R78A5PQSREPk3UJn84qt
vn84O0HuncfLZPvYbcLNTXqcvD0Lpos+4B8G1Zb/bR7/9/enry/mf/5S1yxcNL3ojsEN/Poi5MOy
EEaoatf0QefwRt2ol9pTxKTRR/YUzN7xRdtJ/9xsp71JE3Vi+nxD37CdvNz/+lb+8Yqtb+C/XmZs
8v8Lqhba8n8pJPnA3wtJlHorpwGAEaSo/1hLE33DrxBOxDrPo9D8Y6OBNJwaUhDHrCPYptDkr37f
aDi/cZ4AfzDh52Izomj9GxsNoM+/vI9MtOl8Hk4mBuM8S3zeX99HTRRKU9FGaMsMJacVtzrCXVUo
fT077dprZVmhrFyWz6aAC+iaeeMBMyL4ocDL3iljeVwiPPA07tDqoL1iCrGJ6XJYIWu6tl0EtvEi
gSpDUdT6vRiqTRO6o9+sGNkUnuywgmXZ98asqO0HF+Yst0q5taDUoBGpjhwIrEsg1PaJfAonOr8x
re/aKmagrSTuXlOjbyV8W2moJzzRZ+g9zPtWBK7aptp2NpEH1vBxc4h3RKMsfgU5Fz/RS9jrx94i
jyaGLKmOwKiixop9tLCqZ0nz3WL9ve97oLytNOetW8kPq7I+iPhLA6zSQ9DB8nWl8VzqVXmsB1ha
ZGm86WN8E68AYL7Nb25ZXGUmrlpjtKHpWFX1KNMZMrSqAboC1W7CZcf5uo0qHKIhwtzFLD6snKZy
ZbhXeb1DBv3dbqdbUuOiPbtsxyvoyckeWpYgTRRrMyjyyo4nw0sgxScQ48cVHY+rgHS1dWZW1oDl
UwjzOfApw+pfixU93xioZAbEAcuKpXfU+RGZ2uRcy46FbN1LRs05V6J7ESv157IG04RMwDddiga7
kriH2S/JXZHg2GuS1D3UzRzfGJn+gMcVOO9M4KzuoExnkPCyqLZXF57rDveDlUdnVFz1cVELEuBj
JdvXZrWZUvVWw6lEkeHgvMKy5mVq8rha2bBrD45nKNhnjMim8bdqGZhVz/WpVNdRGoae1UU73VLv
bYVZ+JSCtB5ojHKLMXnJS4xIIUzlU20m322juAiVFMam1iCMb3uESMrwJooOw5IwXhQ9f6W8Jrcg
snezKyo0FuleVzHC2VUXyGHZKroBGZR8urkkzINBXZlnF1ZoX2oDwU1wru6KpfzEFOBsxoEBqmXO
SJSyyPQQ9H/TLOUZEwkePnmbg4yaR+WeHdJrz3VJk8AYblBOTIfOqhE+yDI9zVPBbyvUH6OCOXfc
hvehtE+QneBN65HYGjV1a+a451IXL6E9PbBcXRCZ5pgHFEpqO1HfO+HeTm16jogQ1EMQWI49Xk2a
uEU7WXoFDM+20w5M1X04c8cImeZgTadaMd+juX9c25WoNKE6mFeM5/cGytlaTWh4uvnZHJh6p9Gq
x02wKnPMgZ9pFAbYM9bzUI4oO5L2ue2KI/uHy8zQD7G6PA4lmISRgBS/MaZD3ZqJzxsWYISS37KG
e6+NAgs2ik9vsZwd/gJjg0/a2RC4CKUqZntKItx+EVgp07pID4xHfdkBi9bBRqwnLqcUlLJMjNfV
QAeiN726Hcb5JlJnFk3oXlVeAs6kG2O2LtPB/WZaZBjXtvWgW+LSEE3qGwMUgHGu0VasR1wbLyRC
qHe6W25zG9WcXneF14HwIPMz3xc4ALUcKVxU9Ih0eb8NS3SnqeLdLlAPRrpzSbJ8uIsiRdnSv99q
NiCOJso0f9btdz2xs41W5og3rXozG8riFYku1mzgbYbTvO2X8C5tlhSJrnZfJmNJBoedfKtj5WxV
47ghEZ3QiuRpiser1o33hel8LpTAmx6TK/tjFaRGUzPj6kzF9eibi6cCVkl0ueikVrEWXpe25sl0
2nt3pT+3Kwd6WapXkGDuhi2H4fXAokNQZp49du9Wj0NnGdprkeTnGMC0AWhaApzWVvK0UbbHfNE3
GVSfzdCbN4CmLwdXQd6zcqtTANYOIGsVOhkLaNjW5oQlF4PjvQH2GqLeMa/Sx3TlYWeYqPhulmd3
RWU382NhTjf1lF7zfuBFAKpdANdeTOQ0/QoDGdVyN9gIrSUL4xIkt2Z1RxVEt1DlQ8mOPhTmtQXC
u3aZvzv8h1zp3nZu0ZatxG/Ig2x0UijgpQqpjDM2AOa1LwGFtysx3C46jh2L+I+VJk7CKj7KL8J4
nR6WlTmuZNOh/KKQrzxygDH6AcxDErgrrbwy4JZnKlJlIu8ZckvGBCvd/J+q7IdekArlr6uyLWyI
/+arWKmYf5Rk5PKQN0iqFV6gHw6JPxQm2PfhalF1WSr/wvzJrWf/xv8nlF77Gt99VWu/l2TmbwwK
iWOFCfYDoP13SjLb/pNS0EVy6JLBYWsmlf0X8POnPiorgL9I3BJnEruPUd+M5WU/6TOrgmKsCasq
1+AqZ+rYcnylWVVuTOBO9ZVy1acx4tvuroibOYi7MvPZi+/QWAX04Uwm1risipg4tkgIJnBB86AS
qjUrXROUi3kG8AT7OFdeSKG7BWeE46LSspsentAdqJm9i+S1tEOoFjzJkZoo5ywsnQlLBUl5hRK9
zHUfX4dfeaJxPtvXZukwbBGkuhus69b0UfMridSyFWMbck5Nm+4rq7T5yi0duIhHIh+mp0xfc027
rNrD4EtnruD2ckrFcRrMWzMSMzyO8lFd8vuvuFiiaL/pKz3Aigfkf0vCTpvAP814j8t0YZElztag
AwSQj0OcmL5BQaiMSqAUHAHRapoXda0Fzjxh5S1h9moCpXJoOMyJMmzM5l3mTFdpWpvBrCTfdde+
LwbxoQo0zF3Bi2I65O0ZqHEiTOv7ic+Pp6XOXlmecU9OyV5dmNE066ityJ37Jtf0bUWKK6q1HjRq
qu9jbCPlOJJ/OCUHI2ZxZhYwo8oWhFoHx3ujp03OwTEfjVq/CYFS+hg7kb0JfV9lDJrIf518F7HE
YR5ZjymD+l2t3MAZusJXQjPEkN7titJ9i+LqBJn2BGazZUUHmcZY3Ds7BNDixt1Whsp30yW8WZUH
cpHOUYs0AzZVULeLtS/KVcQX1p/9/2PvzJbjRrJl+yv3B1CGwIzXnJNMzjNfYCRFYp6HQODrzwrV
UbVU3dXH6j7XU5u1SuKQmYHYvt2X1ygzHqW5q9EoPySFwngJq2fe0sR5wsk/ePrqz9vrxhGkQ4eg
vhzczODeGF0XITIqLvdVnAj28hh8Rp6oK5Yy7hraFGhwHrqJWz+PmQV/Oh7OBl7BoR93LgaB/ezC
ofDMtt4uFUWOk7qaW/dJ9MNlOKT32QCvNjX7xzJObhMnSTeNOWII94wjh7a9mpLuVvnRPXCdm6Ud
+YgIDJdKsEoP05Q0Yxddk9o5qCIyMKIaH11rsA10mnyvXB5Si8B6QRKp3MRujzHVdDbCUctZ3YBu
VrXa1eQy2dxV9rqcCuJGjjzBdPhWsPhK6cYFoZteeFmDX9X0z1UNVMcMi4IIUQtYD5CmI7K3zmzk
ToXDVdg5z5ORmGuK64itqBJ85Gh/lWpcVgD+bselgW/rHxZ+Mytf+88d7UQf8unB0t50Q7vUI32l
6zGuF8paeDj6z662tKNhHiftci8668iYaG8oFTgl2gnvaU+8qd3xss2uUuzyHrb5Evs88GAD0dcn
/Iq1Pi3Da0t77T3tupeNRJnWTvwWS77U3nwTk36EWZ86wA8T834rCf+k2s8fGdang8G/107/siwf
S+39twgBKJ0GSIkF1MQDXKNWZIgDlfTOme/M3o2dBY2/SQmLrVXS4vuqNrXl0iOlG2tG4hWeoSPI
OdPVtLx3tvXSBqF9CM2KhUDoXy+ULZNHS4A7dARJPYc7cJioD0ovelDEw11SDdB3GrM4KHbkdMTm
GWet/dp4zt1QDsFaJgGsiTGSm25EQs4asPBVal5O8Ca2qLqf06IIfLrcLDNr2kxR7R/yvArXE0lR
0KdtuCpNJjYYWh9I6+Va9CTUzEi6l+nsYhHo25mVBxBb22pvZcUFRgVQRsQybfO0mnmdUmpebLVJ
3UxtVJY0F6Uvj6qMXstqnjcliNat5fsks2zerU2XfXgAGuGxZcvWraJd7Njq4FEweKwbZ5eDJNkk
8Ph3QaA9Rn1KnihrX7vA3VWdAf8o2tdc2W8SI/VonElDqkUk3P2BtnL8jbUecqIbKKnNzm/FsY3t
E55uOCplFuyZk6kigudHak2ps2Qcv+WsR3cUDdhnFojntQtBYksbbXVIqmp5WMjDbRypjJ0LMWZl
cLlfxRY5HHeYjnYZ6WResLBBnc7jIjyLwuXcSCk9DwTzTZQvN10ZkS327wLD905Lz6SXjPBZuP9f
N2NyX1ksHvJFFLsG7vRqTIxundnDh9fiuC89J9jPAQssJbDEA7Yn5VEk10PKvi1azE1ep9O+aZZz
e4hOdBdt8haZEJv21s60+wuNYpX63WXoZh8BSB0SMwgSfsiY6hkuxU8uRTGB2mJcRnZe8EGapnwU
Y/5W58Y1tqa7nKKitYnKus1073fnNJ/F4n/FpYllCjInNkHKgcfUqjayMF+alOlrGtPLKBzBveDw
2mA4jNZ1lJ9XQWkesjmLH1tCmBAiXjyGKRwP+dYvyi9wdy+uTVF6Mlw237chQ/kRuVa4FSGribAs
HkfcpJQmseuwcMEtZmNujCK9ENjiARrm5wWW/rXDM9U1Jg4wIT5nkKL+GJ2CSJV7QqJnkORCLFzY
Ld3qia77y1m75zyF46zLyINH3Vnbi3O3KL8ZTfAlZ8ZHDwWlao1D1GefLP92/VgP+96nmBwjx0rW
xqOZmaclPi8zZpXRh36Sv4Vj9p5AIwdZbMIF81m0w3Fxh4BoqYdVoCcJ5ue8PCWTOsHv83nh/ZxS
uL6zLFLzJNBXrEHv0izmP+YAn0pIXF0hVg5VdXCFgnTPze2VG9gRt8+u5abDzso7W1wi/GOTXnlt
sIrwYQibfxxyOimL7DxHtdrb5QB5nRIqcnl0BdC05ZfQWKpHYfPAC6uYJDfxPBXYtKKkD52kEZUQ
XYrtpL1u0vCkmNw3uJ1uR6PDkZS51Po6JFDrmbnU0kgHWa6YLki5Uni4A9WI9rOw4APidFdOLT9a
UE3bhHsn7quUFIOtbw8d6bLkTKrsKxFuuotlQMFEtq+XfU/cy6JiGl65mE+Bkd8nBeZBYgLlmjX4
PssmGsLI2tX28m7TduLJ+D3w0pNjjUCiIzPhxWrfKLGCRmfJzOVBPHXnfHzuY4Wsxvz2KOgggTOD
gbHbBgc7Lg4WfMhpyDe66fqm8rqSKqkKWvY2xZxtPCVTXZtYXKu+O2PnJ0t0LzkF064uJkPdKF6d
ynRTY+NEbI/ixZfpJgjzs1qiAsy5wafN6PZLGDPQ14RL/azBRExEMHXqjVPSeUH67BkC27KtAoqV
JxULusGzB7ur7qTjzTu2OV9t1j2RFXRx1Ql+UtzToRseE995a6r5ek5Dd5X4WFCSdChJBPMJyXMH
/7DEwGUgjPA4IXGXmzzYqGH2eP30a8fdnFINQiHJqe0ooywaZzMP/uU0pFfh6J90tmhV9dmbALrQ
h85JLIrbTd2882yBCloU67wKHvo0dXBqmp8LVpX9kpGBVFNwwO56DbEL9EGy7GdGiRX3Grnxoupb
J0sadBJjDRxz2bW9d8KefWvl1E8P2JzcspYHzt1TKFmTKpeHndv3BDT5RGcWX9ClNTp3ip7GEda2
/eKtYHPuG4vbLqUar3kLqCO5yhsyPy4pvdk+uh0kyjCYLg3CH0iUw1XpZt/gm7IywREjVXpZx+al
S3VlUU2XjnXlIdUZtIl0nRGfTWb9lMv4OCTpCw7ehyasWRNSbx50+9nz79iKrrn3XqrWek0bcQhp
9t7ZZXxclL8cMdm/8g0+4AD3Nj53wW0yNKRqSuPVoYrjqVwmurXb7HxOcmhoGLNJsSwXclIgojyB
Kcpkb4nNkT7yvAnAnuFQKlX4Urj1KbWTp1Kigf4z0H8f6G24AX890N+9Vf9v9Vmlw3/Ys+i/+WOo
p9RSz8w2pJuQfzbEEvPHUC9+8zDJcNuBv8cWltDG/yZHbO83cj7W/07tP+O6+RNGXU3w9ggIglr4
W2sW2/91XceaBfeMIIYCysEWlhvqP/9ppu9H5eLoCgycqnQHFiwHKLOHDeIxAOKe2eW+OhjcAddZ
Ut6YARdiRFP4di0TuGJoLrLhuHQ8HppsBFzmcWJaUkUMlIHkJty/y3J+rLP5tTHbCzUCEwY9dAIP
0m2dmqhqYz/EFFjQ9ZFt4qG4nRkm125rf3jgViff69eRbd6EpsGnM4hcHsvdkzn7X9Dm5l0mm7uS
E9AXpeBaDVxrNPwFewyonRFmcioaWjg5QrHpEjTnVK1aItGCc1bqA9fB/I3BpDyjZpvT2NUHM1SH
zNhEs/PafD+3s+9nOHlIfaCTBq3vxzYzG65ewok3EJa5a8hw14iONHavuNyao79ulb2dMLMD68mu
x0yx2a4wuNRBgQc1+zb4/mdkOih+acBmYbgsGIp6em0jhS1UhiNeJFXf+bPIVyCCXrOCvMAcdhYI
OTGtcZqfe1Hfn7Vm9U6ZU4abs0jo6kbQF9CIS8e6aXNMUFXiuxup8nsz4X7ug33rZ1B1s+k8V6zV
4OPWVw1a7IkHmVobfkgrRnhlx82xKmi7EIzlXbIrQv+MhtFnbGmsrHJbHWsPlG7lmEcuhyQP+bm3
9gDbLiKvtjIL3IV8P08EN9MzGK9Q0vj1rQIRGTopWV5FgXlP2di0Kxv2NaHnnzuYGPFxyzZ9zHtW
Hduu8CC84vNGBVY3Zo8L0/TQgjK9vega8y5GMsd7Skims6/APO6M2TrwgLhxM/8YFcs+n8YDgn6P
dySmqrC8msNpb80W5Bxzwpauy9uaVZK549EpsyfXr++pXSUpGTwCdWDk7vrDPMb3DQyRTqZ3XTk+
47Q8iBmqQFYkzdprWaAtqc0zS7pYPLhwzL46eRUxDV5yEGpj9okXejV1fG+Git0tLiSMV1a0mhd/
by/uq0WLWFSZ0WoYi4sljm5Lt22Oyh3iE/Ceu3SU75XRb8v+vhuFWIdteBMn2aYB2Vw1y1nniUcz
zCidqLN9n3ZwC3Fv1DCC0j5/Lcc43TNp7DQXamUTeyGtla6FAQSD8pG3MGITYZaSfrrlkmvIVWIG
T5Ylz+veQI2buWS573ZjAruPsrslTvRq5qntJL3b4rFoTbE1LbVrK8bQNDcuIzPcw7u6HLlA0TRT
vU8R054NBTmMlVzZU3FeFPxnpCNR/wa2XOUxiMcTzO9z/stlO8+2febXCDWoWoW1w5+r1t5CvO02
gWpqYdWKXzKduHBJInSu+bVABMXu9NKHcifDCU8S34IdvKLAw26C4kH95sYWdOUMNumk5ln56DlW
iXmLO9MpsMbbQLQF90hJbKWzn9OxO8oerJAxMUYEDkN9fPR9+8aqiOuqZbpwicqtgW3uo6oLjiHh
nCT392mQP2VWforN/sGvGpNGAZOyFmeDZ/AiAdedm+NTXjp3XcprUTbTh1PyUUM8BGNyNRfleIwV
fvgsnQ6F1Z63oXXLm+SsHgs+Yd1w1UfmbsLuz7tqeia6ulmwDO6m3sRQKc+NUJwbtsnVSRpHRzkH
s2MkY4ouF3mQBJJJDJzYO+yHYrkZpnxgWdBekBBiGOAtG+ASLPviITKrV0TBK/hTx6FzPnunOUtq
7yjs5HHq0zs36O/ByRUr1wMc6NJgOgXvudkcRYnss+D1ZmQ5qaEiPM7luhfyImEUS5fqdS7su1Aj
ZizcWKJuicp65t6Z0l3VNFfc5M5TP/j6527y/W6i7RB/fTe5ePsGLPjf/R/6b/24l+D/wP5FUvT7
U58isJ/uJVxZHBdM079qFn7cS2AP4BUOqOK0AzwD+jbzY9ng/YaTi5sEvQw2pZ2sKP6O/8PTVuF/
+Yi0/wNMFGBVnGHk/AJPm7p+upgYplC9NdAIFYXlztcT+UC5wqpgSMeL+dQwtDcz8LKFMd7X83xV
wi+rR52y+XT0xC9Dd53Ysl/XfnE+18gcC6nTKpnMjUAwqLRyMGgNIUBMwL8Afj0Nwy1Asw8xktQb
gvFyGAlNienFQ5IQSBOu1ijSOHn1wmJjTDJ+7KzRhNabn8eljNZ+pCM3g6h3I7JHrfWPWFgviMgY
VLU2wozWb6ThOTs2KV/4CT/twmUq0ZpKUFPoXSKz1Hlyg+b0tiC/GAodJtSKTO2myzZHpHG1WjNq
WFqDOgjesH4PkHQSpJ0SD/iqk/yIo9Z9+kZcQ2jlqYkXF2GIUOK0zzg3aV2xrt0suzYre16lKVXH
UitLhdaYYCVO3GXkBxIHHDbBbSRPgmK3JK7a0Ad1Dzn4GqUBhcEccOjCNz3JMrzrEbfKUtCdLTu4
QgjGBgJYghCWDDOoKrRiXyb9ykEsiwXQ2bhGP4PhCJtmdBl54dBt2BktD2xXwNDXLkQuQhM0oqLH
EeXPdmxavxlaq4tphGD8NuNNr5U8m+wveT375GmRzwmanYKdeqO0Api0Q7hTsYkqWJQh6HOUlUpr
hrVnAM81YO37uxpRUZkN2kJMHUDRJDBhYp8ZFhHS12ok8ECtS4IqjNsFFC6aZRGXH0OYIJJqPbPQ
ymahNc4ZsRMIDxXVXXOR5g0jsVZEWQORaUMjNRFL00jAZtf6qYWQmkd+QnpzmjeZVlmD0XcvTa28
dhyW63hcPsbOtFFdMIuPWqnNtGY7avU21TruooILLOjsVGbvs2vYmNPJdllJujTsgbey62TzJp5S
dMWY5CEXgLsK2XjS+nGKw4TOAb84DP1cUBwgcWPrqkiEZ18r0LKMaLyJq2Bjan26RajmMUFMyimc
A77elzCz3k1EbV+r29bcXxjA0Pg9By0GV6AHSOEYVjSmx28xpfShdwMsayCHA6BWK+gauDN3PBZs
ySIgeZpjPvNWHlBVojE9Cl6PsgH3+LJ8gQLRI8Gk9M5rvE/rqsc51rtBjf6ZSU4HGgZUayxQDh8o
0KAgCTEILFMFFwyIkICUcQ6uqCXohVkC1eB+gTnEMokgLxAiCkm+0qG9s2woyFZwPgWsY6AWLUTm
LShGiZFcmBprVINFAaQ1sunpnFt6gSZWNGCQKBg7DzQYyYeQVH9HJeV842F86GEombCUPJhKIDz0
0UTiKSrVWW2oN8vkVgJ/1F21ZKPxAk/eWboMYJXimc1m5g/DEzSuqaYUogGLjjpc39n4WB/reZYv
M70lRKzMfuoo0AjcV8pj3bOhb4r4GtdNHByH1nBeo5j750WG/XpfhjmRhDB6Eonjbd2ZAKWISEBH
vF8ODqE+3E8LKyXed1sXVsuKd+HL6IyHJS8tmmK9QwLGk8A+niqZxiwr6ugmWJaruRqpailppzAI
rhVenD+MghOupKgQqlRhbcc4+4o7/6bzzPpgcH1Wad/Adqc6wNfs1nD4VqrpsXWRffgU06DRPS7h
SM+TuVyHJPDHXNFs2phvYuYcJ2Z+lbEZFlIUXPWi/tBCluO9Fl2p3LTWasB/bcQZS2Jc7fmx0tJf
b1dvfj1RdKJlQR99MM2zdwu9kIEVTJnFuIgnZ0FRpGGOz6EWGX3URig31VQzWh40I6Fa9unIPXsK
rmItVE4olh7K5VIORwJ2gHPQNEWJ8VtomRP2KCHNUmLGQgJNtBjaaVm00gIpCyas6la6HbR4qlBR
7ckU61IyK8NCuU0zAitF59Oe217XWoRttRwL4+C+TSyI6Ezibsx6ouuQbtFwqb+8rtF0DdQ0Sue8
pyyYPjIt+8q5OJdaCJ7m4TxqlidoAmTz0iulJWML7bjRIvKYNbs0NFGxA1ZlyMxo0TGJy1qsRjTo
yk7tNWMnZhIu0SjU0OUABKJZAzzpdlLL2HYwnGda2C61xF2pmRBed+Zo8XtMKSFO0cMZAjmf4VXD
y2doTu9o0XhrUc+tlv9vUKcJYT23eanNgI2+1tx9xPdSxJ9ZGB5cRPna4E8jZHqy5d8aZPvSSvb/
3Ce/3ydNDCV/fZ/cF59V9e/XSf2XflwnLfEbkApHN3A59Ej8QkexfgttXd7uEA6DxvmTzIUH2UTm
+MNP/Asgxabkjj8DacJo51l/5zoJzvnP10ko0/iS+Te5vDr6n/vlOkkm2rfmMQivrBKaLiuKpdl3
dh1XN7ZRJdbWTco+esWf191Ap6q8s3JKq/UyhScvC09dFeasRvL3HFOdvpBN1gCZwwGkt2rsYi7X
nb0cq9lut+MU3jC8fvH+Tdd+R0npaDGDW8SIUvby7d6kuiWo2KU0xsFIi3e3ozMIjvEpzuRNrltf
vKHb4G04+KZ1MLF2UG4k1zQHGXi/1J783aXFti9FaGLdTavMaKqD0j0zlSHeM4pnKNR0j13gP1Oc
gzonP9D+LwCcFK4uP/JeQoj+g26yweD62UEpzHXHTRYOWhuh9waqxI74C0Xrkzi0VONMuiNH6rac
3Da6baMbdDgM+GkhgG36GogoVTtUQJfs3mnf6XQPj0UhT+LQcmVDMel0V4/oYh9csXgLqPHBjz1t
Wt3sI+rxpaTqh0gxG+76atYdQEYZubtS9wLRg3aUKU1B31t9BTeOjSkdznzdKNRoLBY+j3JNARxR
IXVTuvmxpypjlVjZN1UCvTF1R1FXRxiJOYTtWL1V1gjwU4ivwTLOBAVHQKFO1AEyAoRc8KfvLUiS
PiQ4CMCcdUfSTFnSQmlSaVTymdcTivjrUnoXTko/a1FQtpOdmV50J3X7UifzrN8QuGmTk2FVIyub
NAeB0BRFnUCqpA29vZxj1z8WPbnqtTslCAgB8asybsMLyzeSMz+v0avQ+Y/8XhpzS5i+2SdREN6B
OaXEvVAaetLWWF8mVzn7hlaTYlOMc7wXqibTzLXVOvlFMXIJ8oKDseTm8z/H4e/jNambvz4OD2NJ
P9m34d9PRMHf++NEtH/Tbj2bWKJHS6fgxPlD+Hd+4ywUru2atiMgRP0h/BPHdTDYuSazN9A/ZvM/
BmyHch9TM43/5QH8GwP2n+MVDpSogB5R4cDFsOCh/HoeDiMdUwht8no0z2Igf+q27n9/WP5lHOr3
uO+/Znh+CkIkuIx4drsWPGb3TyBmdHY7y/K+ubYloVgGP7fnGpbYVmVfJyZXZR3anPOb5Xu2PAFB
88wJQeI8MF21hsg6WxDgmnVPMr1N5hMU8a1nw4DQ0fVRZ9hVcR2RaS9q46jIuBtk3QeTRKAi/b7o
FHzaHyIF6yYhH88yRzAKtWdGI68MEvRcN98MEvVj0xyp+XomR8DqOk2uYhqHA6s4+jqIL0jkdyTz
Gx3RLzix9qmO7RsE8laDKw+wJnJQtqwh6Du1+zU/3nPsmUdT5/9pTD5rAQLQRZpgOqeJW5WfkWYG
BGWDUqs5Ai1AgQawAKXhchNU2ngsNa7dN99nMATw5kuMXBWt6PFZZFkPnSYWWKALcs0wSJT86IEa
KE03aLMGhQPeQdj6AEc1AyGqOzRHiu58px62MaCEMiYSM/T2DQyKmGfc+GxkNlw+6Ao8vynDs4av
TJMXAiqfVz4whgoog6/pDI0Dp6HQxAbPpPeQuTyGhTNW27SxcK9TF7yic/tJIATavJzM9catK0FZ
lVZxj0YAEBtUhKGZEZZsjiHwyMtikPQLG/lZb6Rgp0ULrAfoRDx82Fm9C0FRpKW01s7ccqWl+jzS
vIqoDTBXgbDoNMtiAGqxALdoUkz2EtzF6DsfQQ//IsjSr0ATMWIHNgZKwD1Zmi8nlWsTeEbaYogT
4DQSzdVA2V/XzCuT1b8LTd7oHCyQ5LePRZrjfgPPkQY6iGMTy3R62B2OYYYQl8drDOQPUwzfwwD0
kdgJdDHQH/E8tBsGwHFdRcQEHOrQJp6Aiz6dwyBjwtT9UEi6rCaecpPtdKq8rywLX12R684XgqT2
nFPWQmf9RcXSbB1nEBo4Vx5i1d5Vjos8m9tXceH7m6ROJG/W+XXKCt49sqWsR/L7gHH2knsRoWKe
31NWfTpCerupMx/yuGAnT43MbIAknOIBr5bxNRjBCzWNeMdpI/Bt8GKbGegbosfi1dZ2sFV+bL7H
UaXTtdGh4bcRkmtv791YLivuFbzLwyJ/yFmHHt1lzq7BAd23LTuQpfmkV/eIKFLQxNR8E0OLBRND
FkIP8kguh/OxS7Mnxxk2hUdpQO89VuF23qtEZaeyxpthGLfdmIX6plG0FPHBtdlMMjg3/BlMWQhA
vC9cd4V9aR3bDVFf+8Lp3ZK7GEoPTYgNn01dOHTJvu05CdzP1JzbFccaagUs75Ku7ClR51xn34wZ
YBU7rNIdX2LQ7/rMue0qsc0acVsL+yiFcUtj4cYz4kcr9176AJqdMM9DGV+TD71WZXKx9BDsMHNG
ofqGMQHoh59t8n7ItxTxwV9iPuw7WstxtKHcXPo+4k2bg8gjRoUjWK7qEEtKFhj4Eo0rNXSs7cJ8
G1n9Zz8A4WvnJ6P/dEfeiZPn72yHBtB1VEnWBmEkucRmozKMrTkp/9GPp3nfthBesph1nRs0Q3OZ
2/ZzWTvUHC3t1p+qGA5oppve89pp1KqkAnY/qLoDF869LLDLx7ztd90gn6UsHvvWeCEwZd+Yo7tc
88Brd13RvrWWOCad/W2Ogqt2UZdhEca6A5K4Hf62TdpOAZy0It2VSxneA4lSF3GZ3IEYesdZa6xl
PhbnHaYILpsDKeQKT6UzJC+Vxasok/s0rbNNaBtn49Q/j6JesNQBPI90srzh+6NbkmcPpRycAaNR
eJuetukrY2BQ9jLEOKVCuY27GstI5/RPUdiPG2fwywOf5mDTFsPG8abpMIlB7llp1Gsb1v1eVmbC
ba9BRRxwp2I3cw8ShKwGLV/DdL3tnUQbMfbZpC+oRvSR1vilF0/cc9V+7sR8F7uddwyd8bkOJU1l
8RJd/nQXYZej4rr6GY6hN/Z/eugStmeh7zHr+K4e0n4Wzr1ibOBptON1TYOKJ66y4N7ju3aZFjLn
6b9/rV9vEfoBz6TnCVsAHfEJGuip6yeRvu/rebBkL6+DaBvlj63aJcb/ESj+v76E/vOfvoQs2qKQ
YyGvGz6YyvDZNr86zd3/x88RMmj63NiEpW9dP3+RPgHBm0Gkv7a7+7Y+gYE3puN//xL//rLwq/rp
S/xpnzHgVoyFM8trJ7gr2x3i0JZbSOW/Zer/+Eosdf70Bvj1K+nv5KffGCB5t/QoW7tu6RcQFbZs
62wsMQltpxJRavnd//OX1zz9jf/6fhMaPOo6bIvskPTKr19uQFRbukFIJqBnMRDB8u7j5FyV/8wa
v2OBBJuvv541jmXz2aVvxX+YNfh7P2YNwUChEQ7k+b4rLHwOf8waAsMQtCCfw+B7hyd/68cyjwHF
ttmtCUo5mUI0fvzHMs/6zSPJHUALYkpg5/O3itFJIv3yHmGBx54RkjmGJZaDfAr+dE6gg3fVbLTq
YrYb6gNFjpPoovFh63yZy1K5XLUGc+DpbpM8WA61l+cStX7OOME8J7+NLPyAAXHBQycmX9GXbX2w
aEc/D6M3QD53eZSX1woSLPlXz9phnIq575r9Re15X0kT8MQtYWSLik5tbN721scsQfWB9Kn8E+5p
wZN3NKqCdRakjkrBQyMdlGVxd9mYgmgGNlcyGvk5Ebxq0zdS7TqX2+zQ4n8pgOSsYfKQOiEhdelM
6ix301NQD1QcpEW+y40Q9yDiUsDdmn4jCDBqN4fsfL67ZlrueGuRU7fSzjwRobPBbHGMl4LTu/Hm
6sxPxnvhJSaXHbygeE6bdRwq47LLvA9Z8aBva1/soYR/LVn2ipWJ+KczifIoIz86NU6mHvBTY8rq
kou4t1EUkuxziBfrhWsvyw3ST7vJK9qN3xfkVlEPWr7dKjwnByu2njSNM6eZzZMLsHOfwusBazZ6
p873bwKaIe+YhI4yUfdGw4a2dqgmM4P6xvcwxsMYohbVdIDF10xxS47H1zElGpXKjZNIRmLOqkvc
l6mJCfWYNvVskRLDnsZuxTV56dCKrxJeu4ky+fRCCe7sKPnsKVpy0SZ2KZiTw1UThC3JJpQT94jb
xbo3rLFIj3S+Y5KZqvAqJS/brmqq2LD28EuIrkLsXvhg8/BrEmF+sogkibhc7gC2Y335/qH9h0Vh
I2v89el19/bRvZWf1X80SfI3f5xfqMcm9xXfpA6QXKEGnv04v7SwDG2CCOPvf8Lf+nF+0ShlA5pA
yeB/cL/z5PlxfgUUIaM3c+5QOay157+jHtNQ9afzy/V9zAh8d+AoQKT9GWrCvFf1Sz1LfDqERZwx
bXb2lGRbPfqU/jzseiPHNkz8a3qRWXneaOa+xyG3Yl6G5qrI8hJHFLexhvQHbrkqVeWvPXKK5+aw
vLma6R8C95de22/9jOKipoju7NHwLqqJZh4F/GLXkOC75Da2zeLkcSCgKLHtsZwJzkqIEdRNfeWz
epRJSRopv2qLbgMR5xASU6Qup0wIF9gNVgCOxkXZhXYB9pwj7NTQyz8z33mQnvGaT8annBLOAkwV
61kqVmZ1+a3VjqncNAA/TSNrTjq/pT6jp9B7V2BWNetMrAufFqsJ9OeGvrbHpKxvLC/eejXmaV+h
mbTjMHHr3o8xmKej19i3OPYuENw/F04xVV17opHEAvJL6md3TI5PJcuyyIo+ksq9n1z2UWb2pWKn
2aSFdRN0SrEsx109xf1DbQxwsUcwzmORFPgraOdqQ6AhnUfMgGDXBn3FOfSBSYK+YEQ3q9FfLTWb
1DIFv9FHdHsZg9czCMSHHPTUqjTs/Tga2a0LzmszW5A0MsUcKFJsHm5t2BeMaimoRskgT8jnbIFS
TeEC1lKjNvfj3B/hLqWbzh7SnTNm7mFkDMwfq1jn2y0ddacZidR78T0BX1DVOtsevbZzKvG4BV+o
RoeZ3HwyaExb2Q/+xRANffjauUv6jeIhIHehKMJD6oho5/Y8MXyTquieXSmwUFXtGkcCBlqs9CHA
2djBKsFQH77mKUsLd2LdJ53M2hjNSNJEBfdhBYqjdFGTo3FfkETiiSsejDESm5Fg2HYG4ruHNxzf
UrXbMrpa1VWvQzS4Xmm/mC7mRGGRHWilYPlA/WRbzNcQgdHTRtkgvkzvPV6Xcz+3JlgEyWcjkpm4
iDLpJhaXRlBHw8ocEcINYiR+OIyHboy6g9V5xV3rtcXVVPvVfW5h62sgeqwnp7mvg2EzDB6MknEZ
SM26h9mrdMMZPZVsH+Bz1upKDmG0NuyOiAM1EVs3xec4cAti8xzBj1Y456Nm3SbyEe0DjYWJk4An
5onYIcJgzY5xBGROnWUGB7iiQneTBkO1p7Es/8htl2LyUVJKQn1mLpP5QKcERtUhXJxNt9Db5LkA
5qUtolMS28FFMKnL3qNFI9R9Gr5u1iBF3e1m3bYxECK5MAIaOHquSjSG0srxz/Pod+X+vz6PjrzT
/sNN+qcnkXDx5CPYgxz60VL440kkeN5g4bfgZdq++MWu73P9Zu1JFaD9veeB58ePJ5H7mx+gfwc8
NkAj/e095q/4L9xbRAVs/T1QZm6D2PrTcGcnRSPiieqDMveSXQ02djPXJdrmjbKmhdhTGibR4m0d
bG4JOIcpl1vKASwB3oHjQMKeTm0aAoK0VTgmIAvQzDdKtwMsM3vtiNxTJPYeviVp/5XjFGlPtjLK
Js6IKKwruq280bn2xzHsqo1vNpNzPruu7AG4G23Wv/kLbe4L2A4q4IlDzd8rpwTR5n3WNyH1A2Zy
jOcOfLeUzgM8ag5O2BgtpVbuyskzpO5WTudUNagdjqnq0i/y8VZ4uXw3aQ5toBcl8fvkdDPdaWap
e9VqpNU6uswM19lBskkIeAtQaIG01Q2m7OhIRE9e5JUvLwXgjk1HSLyWxP9XM/TptyBlhVcMZMPW
CQnDY+Jmwz3NCGTJeOp8BEsR7qekkCjS0EGBjuyxetm3wWIW21mn6IvRnB0ynj1p+2Egmu2Z6rID
8kTLWNb/D3tnthy3kWbhV5kXgANIbInLqQJqX7hT5A2CEins+46nnw/yyC3Zbjt875tuR7vJIouo
zH855zsbo9SwNDUNdCPWAfpn/kztrvJV0BpaCQ7UcULxqs/lfBPOxKWtEtGJzwkzy2NXNcF+YpX4
ifNFdxlc4PQsGaTNMuuuXZd84S3N9yRcavdaExFfHIOBPRsDNlj07OFlypLADSYzuph4MbaOg+0i
nh15gRxt7rKKpEJngqIeshT9gqMiPUE7aZ66rOg2jRPncLQigUpYS7G1h02C8dtnzD9W1i0DamVD
Ld7coAApXVxdxZGDvT82TXKgdCD1keCNDfqs8etghOlOlllwGIsI1wMSfeXMqUuuRtSAPS0mXOZt
S0tRTTLflgHOc4IhZgqqmonCLBz/kNaK9cSY/RmMljgJRZZXfnx/o6CpPjeFWNTOtXolYg7EpRzi
fRAhtqEmiBn/ltNdWGNIQdRI4mPUgZHuZ3/TwPoK/q30f51TCIry/17pX97Ktz+erMvX/FbjAyG2
NHTFgEUWjQiH7veTVTBuYH4hmb2pIIiXZeR/anxJba9zFmMu0S2br/p+shKRZqIP4cg12TOyLf0n
Nb6+9Bg/zLEQHKNs1gHYoROAc8Ko4uc5Vl01mWH2Yr6WCz1JEy2aAYeBQmlOj1pcbf1QfjEgB7h+
2X1WO/81stiA8ck/NqafLi7iR6evXDaXZ3NmBWm2aBjhvgPpxX2L9HLy5Y2aBoCOtE4QL6Vuk9E5
D7p5KrJiKwNnB1TiiuwCnro1Ey8TsD9kRHFvmXwcW137UKz8yDSHI7M3grO9ZOwoJeshWZneJBbd
oKJuMxJoVHOg/hLyyS71m0akVxP+xKqrc/QsuDBQhU1bf0SoNZnObRoH98GQYJ0kB3MyY+hsaaG6
U2t8DEUQn+e5K9/yltcBd7ClwoV3jCxasbRdpiQQ4katJhYMIG3rENmwBi9y6NQg8URJg9AJ23GT
sAJhbm6cKv0cdJHbTvzoZQ/nrUJ0sS6MeIvXYQnW4k4bkl29RFIGrQOML3RrI9X2YiqOugqoQkMA
7ecTbX/N1MVPkB4nBSmOg3VfkaC1mWTdrhXkeUwwauMqU2ufD4hIgetZK7Mx0z0mtouV6FR4ebtu
Wv+1CeRDTFe2jxR9Z0w+9BSVjaUxMlqwMrcxY8R3BYpXDMa7IvSbFVMf9QGrCUkZo7nPckS9RlDe
aZTLI3XFOgSrgYO+qdZF1Ph7C0E2iJuEUJXYIfUEOeUcRhO8QUI2icL5Ums5LNwKa1erzOLOqTQJ
by/xQhPBHVL40FVaDfvHoDJIApWRnVno5XurU8xdIEkCGFhn70u2T6MNE603DKA2wo63LeEX1Q4U
c+HfU/8jdrHCd0z8pSfJpjnMZYgdKK33dRU8NKpFXGordoYCUBFWmNeEnen1LFplnxc49uszt9jX
YmSZbMzDUR37T2WDm4V02qdOVCjjwXWve78k1U2qzNjmU5ePpww8ACEw8S0lMTJ2wsLbwTyTzspH
Qnli+0tLPcy7WJT81IFxtYHmdVLbmBG3YWOwCXWSZhvb4pRaYLdUp8Uk6197NXl0QCBTsvj7QFTm
tkc9uY61KvLquGg2UZi/OWpyDgNymtIg9KitzjnNUmv2xXqwlffIj2gbp2odKEGI7lJ916PyCT+k
qwTptKql0N762iTVQnnpWT+thlaedeRVa22ykls2na9tyZWn2e/23Bwns7zMGjGp0WwQUGNeRyzm
57zOtqkKIgeG21EfSTmqUVvB0LgD2gagMppehf2QKJ4xyWMZRRunhwQMqQiKeKk8RD0jszZJb2Vk
KyTZ1i+l0t7FVucTP0vNgGtxbemYnAbU9yTPKIq1mxt2S62PlVKtSa8jx3WVhs7ZdhwMO8k1ylhi
46+v2d0ce8K0tkk2vzoWC+6WagCxUGViZ0yVOFi3fXXqhnnvlNFnYeJr8jVwRNngrMoovm9T87NT
My2g1QUoVtlPgYLoXMt8PsQEL7Bobb2s4ixcOQuWsckRtP+68Pp3tqZxBf33G/f0lnz88cZdvuaH
G1dHlEO1K5mfqTqj/99uXP0XGhiBJIdughH6D1sBB54YoOTf5m18w//cuBatDBxlW1usPv/M4oNj
6A83LrYjh/+da19VSSH9+cZlHk7GSpWb16RPgyNK8cq/H8ckJ3BJoE4fllNsWs6zioMNgF66N2r0
GuZy6iU+EpNsOQmHb4dizGBuMy4hUAb5vSsdabI0uT+HGMU/5oWD4sTm2Z5hio+purEyqJfscDfO
LD/MuGdfPMEiI6NpRkkYBsd8HI5xnm4U2TM4E3F31/YN4+TRek1Hh2MpDh1vAEeRol+f0RkMIrir
tLxzVYsAyUYwGcyzetfO2oUErQ/QZLeRLq/MB/asbe+hW22VovmkBLI85n5xrEIA/6ER7TVn+JS2
wVoqIeZm8zGIJB8jiXzISPSSOj94oc7e67L0YtV/gaLz1oUIp6e+Imaz7QeY/gQCRER/0qySoVVD
srAL51gRIbpKaoHyMr1UkCNAdQTnKjPe6rC9tqBBW95o0DnFei6YcUx+eUCxbWNbbnemg/2DfaKj
CYSYcw7ndTFelzoR4PZ0mH3lk6zD22kwiEtoY8JuMEhU3ACeM4X4KBfCEYaBdTwUO3qrF3K0t3QQ
xdrU63kTTCmc/TL80jADWU+lZrokbm/B6B5S9ibbTIpLXhrCHdo0dCOi4Es/NDy9/tpZk7qzEsvx
WAiwZDEtF4zIV2UkRAvpG1PQjqFMhAyit6sHWUvwak66A31LcEyzIw2V/E5ug7gt7bUZMDUiS2p6
JbX+IAPj3abvImY8dkDezi9GXR5AvL2O6nxboSRgUfAylFB/6jb8iv8GwtaQgKRs4kuGbz5hCgwj
R2uQYAzAZ8gJIh6JnUMZbGLRfZlCcCn0+BvO5C8TZTHTxXoBoRL39Lln53qis2YHki2azhZ9XeoO
i9KT3x/c2bTIP30zQgrao2m2V620AZ/hM+AvJWxUM6SIpyvGVTygyE9XkQ/3O2cQ6Siwb1Z+ogRc
MGG4m3r1OvNhuJ1kbG8TRUKxpP0kWE0cdD3W19BhcA/zNXNUKtc4wMRpj2qB57tHRotbPyFhnAme
oUfjHgmRSTJhER2kHOet3ZuDB6WnRZMHyEzt+80AykeqwRX6EgoIoZ31rspXXE63qLQxdKXxpbLK
aCW0ZwYU032tKclLrsVYRysIlzrbGc2vKWGIal3Vlp4ARAlW3M/tasypIXTGDSuJxHKbCUdx7ZwU
A23o+gvUMMrKAoK0Mp0ZQHqJg/iJGhSbQ4oqSETN57pTtpqOrb/X631udTrTcXlQMDwetCCVblHG
2gpeTc2ljVINjOCAmaW3VkaEkgnDPTCjrC43SpnCwWtn9UuliU9xlvkbp+H/O9SD3JK5xamUpOa2
yKhoGiVWtz3actqO5e/rW9lqNnw8wOE2HYZLxCdqPRBvEjNDDAd+a1UxN1pQHLVJ30aZ33qFA+Qk
nmuadUeuxxBjnS47/kL4dwAQbeAvTpssz25DM2IiuZDNoMEdcV9jhC7VbWQmL2rPZF5p7ueEPMw0
BaYb4qnKteTcdDVy946yAX4UKV7lzuqar6SXh67J5eECx+UDi2hJnOWYPWRNnJ7I77vJeUdZCIJp
zQq88gE+IYYrz5OVk/9RHskw/xgLoSEFyw5tMtCWa+PWBmb277Tz12kn47+/qBCK5n/+Nw8+0o/m
TwoFvvR7oaDZ9N8mI0+yZWxdNfhX3wsFhp4Oo1C6doTM6ITpv7+35sYvbN7Y2qH+4ApfqoHfCgXB
pFRqsEwBctmMPf8RpISC46fGHAK9uuiIgZcQ4Uca+s9lQixtPje5E1+6zJtNGBnh1qief3hjbv4o
mkIB9SevwiABoTb+dT7NvAc/qmYqn/rCnM340hZxlLqFVHN8VZgjAJCIxIt1mAAFhzSRRjKHqBVC
S5n9Y889eqeW4W0aya0ww+g0qCpFAG3qWpNk5qZapK7VINwPItt3fYjdnyyuTjup83DbTOJczcVx
hGER1cFBjanUsx6nQKxWpEtPrP5IyZioQJx34l4GNJlEesUtCUII+79GJudIk1tYOdjXOPBE+PrR
ZqEEJ4StxqDM2dYfRtttFVyesSOYeXZzAeGpzRFdCOPJ1x17a6em/ioy0KkwBDhR1CS0vLCrytQr
JlAvBRk+AMBgfO4CB1QfPAD4SxyR8mJNzcRnFtogFgmiw1etXuryaRaVhVhapNtamS1zqxUD8sJ1
qbFlrdadmbWTz/DEVK6yEsqZ71/iSYapvGgui8Xwx7Hh0uSQTxsK0JS2jHZ6aiSHjumjvOH1Gv3V
nAK7OTIbwI2Hspk009ocb0INz0wVTM7RqS37gC43eFlGU8/gEyCMpxM7/jbHtimZORPgIky6Txn2
lCfq0DiPRSFpRHOj9ECVLgCHMcSIip+zCoJp3wuzZ1fbkdXKe36CvNe8NVSM4wSbaRqlWDlVtFcQ
yHpsESCJQre/Q2R9iNUp9ZxCc+6YyNLSxQBA5UQobVGSGz4mBqHxmmtX0bPMzP7En653rQrPd90C
x22YWVG6jtHBAnrv2dx927ZNtXVOoOiFCE8MjVPVbC293w1Gjhx4FM0t+yvNk0p2jvL0DAow3+Av
vzUKk8D5LnZ9K90VEbT4QFdvQGjct5rdPyISlV9RplPkJq41jNbXIupcM2vcxK+0B1XpNoHVgpsv
Es8hJTCRXD0jV3Bjle9N00JNqj+meHqqIOnUen9wxmzDAYIiZ94aIznwsndxeO4gepxmhNdB3X9W
zY5aVNmkg0ZdBzOzm75gnMEj/sVXO80drBTQis0iPTH7F9OKPqezZXjERTYHypCAwK/5JDKx1wNx
toD/DF3yUvLna1p23bm0Pb+3NsDOd50645VtvCAjjaBSq5UOhRTueK7uYxO7jzZxq9n2Db/jnQky
3B2jOaDo9KEJ9mp0xisLP80Xt23Kmm6o2mMgRh5m0KBpNbKu822esmw6OnyIVKA+wqkJa5cnWeon
YyyelbldJ1glOxHc5lV5YmWy7oVzyrr+NnQoeUXpCR9PdBCM0DISbRUTab/uauZcQa1eEiV5LRLt
tcSMDOblWKTyEHfa7Txobgp6sUjTMw7edZVW03G27V2p0BBI/NxVYu86BxhITXkVYuid5oHs53na
V3OeH0Dh4rr17ZUS5qk7BdDhzVFPtpVTbv0GrfM8KdXmr0/ePxGHaRLQ1TfTCyNe/vvnkzecNBzo
VgouoUqE16fOhAp5SkAJ9OmpzfTBtXu4oEWYIZabP7Syam6rKlEf5CzJJB/Hu66OT+rou4ljA4dq
t1VofYVJE+DeR3JPEAO5GZO6KWae6dSP4E+azXqIJUjaisWWLdsd8L7PAI27dRQ3TwLBmof0F24+
vvZVmq+Hat2Me61MKLP9fKvF9VYYPaFTpIdn9vuUZvc4QA4dHIi5SQ9Vh/OqLE6yEQ7DrglW2xTt
xBia64bcAcsH+hYy9Axott1Gbe6MqSNTM7QOaujwudYDFTeIhiq8Hh8hwhgQIOhjxCSuBiwVJMYW
ErUoOfclyelNvE8Gc2siVUcWUWE6TsAESACipJVu2IB4ZlCeoBX0eMLENUqHY9plO+41TCElTN5i
arA819ckTu/Q+VJLIzpxrVyJ1tB/cM3XNxG7fTcj0nLF9OoRwAwKsTFivGaTs8rDNPKASjq5JKkW
hupWK0meN7QXYjbdTCd2wDF2A+eQ3hTvhWOf1ErtmdAq775mzatSLJm57M+SNNP2SrmcZe0psq1P
Qk03qoq/GMrjy5QJbR03U8J6M7iCT9JcvJsLIpuAYjCs3RPko+EYERINCmTI/kZY+3sVEIUIu2EJ
hh0qrzR+z0qjuh5YZ2bgTBlh6/EB9Mfqrz8MlEw/lDp8S7huGgMRxDLkWUjtd4Yp3UILKZ0guKRW
DOvoiq98F5V39RDzJKTryKo2Tuz99Wsy2/mbV11+7x8Ew12ZtKWhK8pZnfJ7ZJxMXfgHbsVPgUHt
AcgpJqnZfLZ8fd93oNtxjDMdzIeFBRsV67yePxWKfYpaQ11jugEYNmifZWjYbqbGj8CFBjKDp6Od
Gi+Wn4wHLdWtjqcpL7xutnNPlkrlaiWWAMKLp3032vrnIic2jWmM7kVR9CXlWfUq1QpdTuDJbVkl
rfvOue+MhfSlgBcIerHPAnxlU/tOd7PjUnpo6npjNUOzEma809VQYWJChZIOeU4ocKeuK5i6bj2Y
AKqj8U6EOeLKiAggPWBX4GACafqvVTOIVVNG+9ogGG4wHsYZf4qaHMwWtGO92DojX2f12pILaXXm
PpnjIyMON5984eop3BHdTzhl1ed+ATxEcXaW4bjN68Hr/ZknWPWSNshYwpZuEWdyVc6xdOvUP5eg
rjGJ7rQCYJcMxvsQxcwK4zACGxYout6q69lut0oZsbHqijcrqM61mt1WJY7kdmxXjXbozV5Z9aa+
s+mS0cxoj/mEqMgHVNLX3aW0uCPBx+9rcE8SGc8aJh1YDWMblMbJhor1N4/b3z3jSyH+w9M2GJQY
AofxOT7lN8FF2cC6eiKbcQ8Y7SS5etZfxLCi2z7nr8Pxr19c/Dxy/P4BY2VI3LuwNWf54X54ca0M
ZZ7guD2XrrnKT2JdbtAagc56tjdElT1elfXpufeYv/dv/Ed6mU7q6hBt/ItOSNnf/DQ/Nza//jA6
ECY0ihZt1O/z7yZ1YFijxeElVG9wkUNdf6773V//xj+fWX98DQa9P/7CM9Q6JQzTkMv1I6hJt7z9
6+//p7+DzfDWRmWJ9vB3f81shM5G4g6Xt3JTEepTm9Scv55Q/w74DR6//96+33dt+1H/sXNfvup7
5446FuaCBsfrGwt0Ma5879z5V9iAgIXyDPF3kT+N+LEjaw65bxC8WLqzCv/PiB9Ag8U43rKBRi/7
9n9gMkaTxOP1H3PIt6U6wifqeIMVPT388vj88HnrRS6AzjjTlUVAs1GVNPcaZPnMC3XiPUn3ike2
1r1J0ILp5yXD/O5eRX5oygQ+Sz13qyhUzdOYY9HrY9jcHax9coGxqE16sxFayy6XTLMd0tjyVjCg
hZrfKkfUqua2iYtPzqzFa8VUv+SVwQ42nG+zqMDmPxTwu8oem11gX6kjmdYXLGmD0iaiocDGiAVV
h2QegBTOxC3Yg3TfZwO3lm96KoL1HX5D9D46pCQt6XJJhZab66hM7hjAfgxJdV/0EaDToXZrdUl4
GJXxEDiQkOfWKa9qZ70i52HVy3fxGbEZrHFdNEhuM1J7+4NzVg3eGh3W3hj0t2oyP2Vd+ejE1TEK
m1cVZSr5UvywM95YoslOXNUAegbzPJfyfcZ/iTs6qcDE98fJpnNgQ1+tlY5NXAg61UFTm4Q6Mayy
2PjIM22lOkPJ/xRHi6xzST2Owqz2GDh/niNx0Rg6e4Ms76IwIJI91it50+hSmbZKhxa4DHk9X0UG
W2HHlBoZlGWxFaz0VWfYChVbp+ZstHr+mKWMPNPu2bDQe9v09UijWBHkXVNC5Yy5uORQ7pyAafgg
jGfi686dogduRT/ej8KklP7wbcsTgi218IM3ipWvnR0Urp2Yudsac7HR1DY9y1Tc+PVk4Uhi7ljG
5W1Yz2+yanwADMy+w5TEYMx/XAQW3FvRPsVxcdupGd2CRSwFsXObudqY6TeBFNFNmnU7DsEzGXHO
qs2aY1C3qdsrWe9Ji8dVogNZgXloITfP6s5O88grssZARcqANqoclhbxDfObClmDdfQHWbt07Mg9
zeiN3cqyay3e7FGv6TWAFzUKWR/EihlsPZIEuplBQS+QMhCjVhINFRhssALiUWyeKdR9VMAZ6mAY
3tRojILGGWBIBe2SpG6icYdbcsReclv3V/mYSQ+x8CmzxI6bifYzcIA2NQ0hAMKEW6XtVfw1K6uk
B0ESxm48Ha/FqOzroq1X05B86eLuOc7IQ5uGm9joGMkH2QeH1KUWAfT8QV6AoqpeDNUCUlfen5yJ
0X2pv8cA9qinQqY50+chdi4g0+8ZT5BkYc4vadWqzMPNYAMVLAZXVnd0XDhri+pWBOwzAAp8xDNR
NlDnt3OHzkWkioVMoMFTHcDOCwOWKmwLPaQxz9Soz1q9JDL2rLnU+JWJPqVSW5CRVSBlw555xpn3
FNfKEV3lQToZZcBoelZYHnwcNeuu6Na9qdGDO8pLW03bBdVS1ETfDXZDfFlgf2pnwriSQHd2fYnY
pcmcbDcgEFhVoNCvIimk4laLXvvbbfDvtWhQRPzFtYjW6O1/1nU3/8nVyFf+cDWyyGbDLS0HbdlP
4G3xi67BmUbkRZf1TVT2faht/4IMjbLJsYmuJQGVAvL71WhBOFJNJtDMKA2YRP9oqC3MnysnvtM3
HJFpWXjjQBP9Xm/mMAOwAkIJr/kYcWJNFheFwGWQjvlzVOuSWKWazCeB8D9NbJxQZruvTO1rX6gQ
+bNsOAwpoUFZSM5Lq3a7oAhQ+rI51WvCIoq8A9EMyy2248+DD1lG60E39Dmne9r2uWdnJsV2OTk3
YZU9mjUf0wrB7GLPPk3J9BgE7IHV6NmP9Ycsi/KrveCbiwXk3C1IZ5VE8EMG5dk3kHolLO9kglZz
7MQH3A8mhEIZHvLK2SEpOMblOG3UMfeUZmRLjo+mKNN9qlSXHi1RYFRbU20I9TYRC9n1fQi3f1VP
xbkxbSaArb5NVCdc+0HzZcKpwYEa9NAIpnqtR+QWRtU9Ev1NOHJhOgYD8bqO9n1qv2paaK9BIFz6
oAK/OAd7f6Sl6sZsFxaR5o5JF0JTW8wr850faNOOyFnemi7qj2kEcjozgwvClwPQigU9nXpzq7zH
cepwsFY2s8loO8wDEDYfjJHSAz7QCKJZMAGbLpU3epBTYLSLL4aJNATiuxi2XdG8C1l8hczjdRNv
WVQteQxa8xaC1MaFgsnesFuIzqDj9GXbiNsRPkGPQSY1GB5NzU4Wzh2wkuKmyrRzNcajp1Za6UUm
SaAUYmI7C/FgzGAvkh4opGI+lkjmDlUf7xKbKZFV+fAly36NCmzD5uPYFO3N4Bdum6psHPNNMRIj
C8zu2TEaY5uPwln7C07DSbEuR/Z5qqZPosg2Ro4be5jKfab3d31DNqQ2Dx+88og0Ov1g565dsQ/p
q0qbbpgRY+ZJwrPTKf6J/epnEq0YqNWa2FNoWa+hktleZTOh9KacIEZ13pgJl2pNnscl6BX7UAZF
czsi911sgwgEeYOw/ZmWfJelHOh19ZX0bUAK467VfTJ2mR7qfv3iGDCbjSnfGUnJS6BVKjsUSgP8
lM7kLZaBv1WycH7US8B2hpgGJl/2vaysY6tNH2lYJa6WmHepz6Tfgt/JcP6ymFI1VNJeYhH7lTfh
ezyXzr4t7PdxIYLqEvq42YOULLTmtoWjwgfx7GN+de16KA9sK3Ae2QpyQsMLihmqSSDB048TXzGi
YMyHYNrEmv81LYkmqycQBVmrXvuwQ/LVIYfwZ6T8Ile9WbWqHZxQl8hknFv5YYhF45If8xKXFNGW
1banEFrJWR9q80NV/eShUA2Ai72clCVFCL3Yv7fTt53ropX629spffsz/vLypT9cTwLrtW1i/Pl/
8/VvnZv4hYE4pkVuhgWmR7/3n+sJLzbaK/wkaLC+kaN+uJ7QUgnuOphTS8P3Tzo37rPfd26sdLG7
0NWb3ITG7wFRthZoSADM4iokeddioftrwzSBaM8z3FCBhrk42aT6tM8z+gbyDcKXjKAAuHkbCWe8
IEDA7ipWKgo8Od9TDfJy0tguTumSOoAs62lSjU/SIbZJNhM+PgUgLlEFVu0jgibNlGRiEgyK2IaF
rAPkr+cFg5Yy+qPDMAfV00b1go62h21u9KDRQlJmTJJXc7VFqKA53oychrxkkvNk4M0+sX6Oaha7
zhpAE7M1GyfUItNEdC3dqcnGrGUm1quPjP5dO568QbSN2zpGsjg1a4LCzS8WvyckQL5v5fjZpuux
BKrjEK38PP7i4MX0Jh/QLFKJRagb7ufc8PdpGbNazEavyBFok+WUHk1TGU5+FFKn91m+NhiqRxWm
FfhBGsrv+IpzYW3GE2GsM9YGq3uoo8qiEqgeLTu4llyizP8G9klRtdErv4N8ifgsV6BkDIZarVld
Q/OrunNJ57NOpgJ+c6/g64MfnYunLO7vnNjn5yb+aMXmaGfrCHinJHrvNf0c5PNlFlkP1woRXhfX
SNIIb6AYRq8KJzeUaJlVboUggYQ1j+26wIKP5hWRTkkmMnsoax+31m3i09vpIEJcMQdeBehlMyjF
l0owthdqcxE6FKUKDjNWHsqMq5Z2R12fORiN5lj1PDN+19xUEaG21Bcgn/up8wx6wyYnOismQrTS
z7YZonABkLjmhit2iZa7Sals61i5ScaiOc8J0hyzRlBL7PWdsMTZKVMwO1M/0nIatBAJajUda88q
NUB/xYkK3XnwvSZoHkY0xhuwSefA8F+nqif3R5FbHOSWa7bqk1FVr3TDtqulkAKrFv1ZFNwCmT1p
Y+bOwXihC3ivrYEoEi5IrlFrH1Tgi9mKn9quuUZFUym3BZDy+WMa02RnE+DoJOVTsljc+xl5MXLi
c94l5SFunZciUe9as+bCm9Y1uqlyDjZcnm7ZDAenVTa1KtgIhpeoKA5j3FzyIr3p8yRxufWwdPod
YGrf/DpbSsdWYdDRG3W+jQou7+d7Yc3noKqbrQbsbIOTclwNusXrwhdMSU1B5exNdrgbZv2mNl8a
BTNx1jmPuYOIJw6OtVi2Tq0JDkBnmDLfdLPY+X2EmtDsbjns6Axbl5EozoUo4Omr/Bu9adFq6uz+
4cQWXXRHAb5Ypu/nEnWDVSPBCkewmII9OH8uO986gaZv6glWgp5Y2zSIggX3y7EkQolgIV0yRnly
8pLQ9VwTxgrI0I0clU+2kX8tavUdPWGyNor0CSHjCdYW1u2KSCtzUUiqS01CvfZZLlUKDpBztNQt
k6reZEsl0y01zUBxoy9VDiqOj26pezJrvNOXSkinJNIojZg3fZoolSQlk7PUTtDscC0s9RSxIs/5
UmHhoN6UctqSw+iqZX3jUIqpYM7npTYzKdJgPrPTs5JdsdRvKOseZee7vHK/1h3jQVtqPeJIG3de
6r9yqQQrRZzHpTZE83lnUiyOS9WYL/WjnYqVWCpK2l6BQ2yxwlFttkljrJ2oeguXSrRdalKL4lSj
SA2cLxElKzv0u2SpYUHb4++gqm0pb7NWbFiq8FdcKt9yqYH7pRomPnobLvVxtFTKEyUz2hpPLjW0
aQaHlKI6JCqDZQl1trFU3PxBqb3FeLfMvrSMjFVKaxzHEgr8t4pd1sF+ZLLhK24i9WPIbHNJZn0l
GCbacxyzjKT4D4xxo4SQu+kKrKU9CEKrAwpOywDy4UsicDsojb6tl7airypgGDQaDJLuOzoP5pKM
CvVq29GTmEl5GZYmpaRbCdrxTp0Kj1T4aWPSzxT0NXgChodwnrrNQM+TOOwRGtu+JRo39uYlAuff
eupbPbWsI/97PXV+q6OyaN7+2OsvX/e9mCLMQl8U6/T6hs34morpt2JK/QUqkY6RFSUpPKwfaymH
Pp4K7P+9uT9Mwe1fSLDQVORmzMZsQfjEP5iCM1v/Qy1l4HjDp2bwoeTHWGqtH6bgDJcSYc8ivGYq
ss5ziFXrddTUUJI2l+fBTQEA/TB3lfVqhcbAlkYhp2pF2uTwUs928+SERnHvOJE5L3b2gcC43G6f
G73TwMLzMWBahWvLiJSnUYAbGwNaiVRwxInRupE4KrtAu3Y9YKZ0ehuC+U2ERMOz8bQaSfwQMSwi
5e4VE6pRLbG8sYeJqdQH1o0cwA2zUhQ6sCLU6S2pama8iFgxdgVLrB5utYn5+dqx5BKIh0kqZ6Rr
ds7eCGoOhAFAYGbdGb15l0WW5iY6cgl/vMx8pF2n196qvLovdfFKScHYwq+HTZ7HHbGqM2HikZOt
EXfR9Romnhf71Mvmk8hA6lh5egL9d+xCEr0qX5DL2ti0bnWABnoo5bqckzuWAo+VMZdnvaadohbT
8PQgRa8BZ5L/s6iXU4TirY7Ca8yD9ESv6s12+Um38Pg0mlpCPag/5qaeGHGMHGJNt0ubeKsy4tOA
55e2HcOnd9aGwakphdhAJme0HPMeVL42rINemrso55+MfuxWuVM85WHyDiX9VhrgKcv0i5aED1aB
uahtY+NEHvYelfVtVC6YadNm7JEV/irAHBsg3lwXqXEXWtaDUUPXYTn8bhX5EZ7HXTlJtEcqMc55
bhOo2xcxg5LxmEfaumUyvzKKfJtGCpIioyOHWSNJqMqfYqtB6mEN0QaQvmeV7T3pwMNaGZiOhqrc
GJXdX7olo8OeGtmuamPfJlb2hEZtdOuku517xM/cnJccyuHiQCRuZOoe6yn+7DMC3lkhI1zTUDd2
LZ8Z1H2y/WAtau0tzSgAxuXHUPs7ZZKbyp+vaRIR1SA2jn/Dw1oAU+pOqZPczJOF4ZJYiBx84Kam
6l0ZpBfs1XKC4sBjp5nxqRB0BkttHiryWbEJSIHPisEt/j/2zmQ5biTr0q/S1nukYXQAbdabQMwR
ZAQncdjAKJLCPM94+v6cmaWUKJXU+a9zU5ZmJRKMAOB+/d5zvjNCfqglXjK5tMrsRLz4AWrtuW+c
atFKC0Bgm2uW/idIz8R763dZm5KjVtBw6MVpikhEpnF8UFx0SH0F+d9vbtHKfxbKeFGL7k33s1vY
HDuajse4T+iek1nstanbkEnMffDj7DXVyFWiCLYXzpgimc7FiQ8vCD0LH6oaz4qmZifd187M3teV
m3xWFN+j0aMu7BBldWZkZwmRg7gfHuysze9Dwbw1ndjTFTVPDwrgP8+S6Z0+jh+PKvJ58P1k1U7p
ldb4Dylx1R4HyBpBh7l1nfmY5u1Fp9Fe7MzHQWTPWEzJi+Wig34Vl9Ey9UkOJQCzoSlkGubWKGFZ
weC96JCvENDq5OspyRlaSec+HfLJCvdAbIxDBB/mqgFc2uzHXpMqs5z4Yt2Y8bpXyP5i577LKCKC
ItMgdiG5Wlep2m7QgSEryotiWY6mfh4nc89wWbsMebE87rkFLw9+ndXX3JzWHu/nChBJje3yEJux
RbZVV66GVEm3Ggr/Bagxmyq08QN10Ys23LaKoVBHIm5bTKWqrZWYM8u/2/SfUvNfzqrlNv2ThADZ
NfjPHo3JG0gkMnOUDn+ZvL/u0bjRdJAWtELwD7Hv/r1JO38YuopHjfGn+5eH7T8ND/sPSa82UZ/z
uJkIt//JJo217OMmDaeDGE5TN+VfwS/8fpN20LETg63OJyMLP1UGiUgpk0VS9iq0SXO2phe40YiZ
sCYFAZT7CR4odpYO6GzmitvYMS+Mot1lcbyCbeo3S9vO8OBEKDfv0sKFv6GrV4GS17uWqBQy2NNY
+QxQKCPqWAMmdbBpBIzAhMkCFPSLt02LAjRjzHalYmohgFfcDInUAfXTybWAc4y5sSxDutTVWNxO
k/IJmOmdQWjSQtVxfag1Bz1lOoWRs+c9WBJT/1LPBpUtsZRBrF6XsX4mOOST3jf5MuTlX/itVBQy
cOj8/MtEv2UR6traNzHlkFNorKjQT3Rrn6uUOCGrN7olqLjXashmJhDIY93RWQVqS8x1EWpEhwqb
TUQxp90wcjbH/nPQOvtkJOR+aOFhJicTa7ONfSmk7mBOXfflfai6jwrkIMavxlXCYLq1AM5GwCDq
eL5rKQ/6TisvNX8gTab4oqsaMqbo2u1KMquM7FgGGWF0EzGSrNdF/0WtCa1SlYlDvmF0OJjwtigK
+XcGR+2qUSD9hMIjbZNuqo76yUIiRCXE4XpG+e717QCxtxi8VoYmFDGC7kydlJWTJLOXj6VGa8h+
Cadgnxs41vDcMr4cUWU7Opkmxrbr6pOfwsAz0K1BP6mrkq2EIeSmtaBKL5gu74yWiW9jXbQjMEGj
YK0L835tqv7nhGouSUdlIQescT4+BwLxAr+TMsBF6Ctp1yF7SGgozypdI6/uGQlxnvU0PIfwEAEN
8cWuHLXp1noXimM6GIzCczljoQGmt8TuaXqAct124+VcE5nZj6CwRGoSVGOzm2baBh1ou055/gl2
dIhdMXdK1XxC77FVO/3T0HMmDMJGXbaNrqGT0uNjmRcEQIElwcHOgu33scLQOTY9WOb+ZtI09bIc
Df0KvjgJVkm/celFY8DcZwnT+bHSnx1DWLjVpugEtGHwXPbEyaHf1tJJ0qYo9awh/zw1xVrvo4ci
YNLtQlQOQu5nzJ54Mk1g2mO2+ebs8RObyPczO8Z/OP/ph9JeFZhRcLh8v0aUxkgSBlGLpzS7S8xX
i3DV34lMf3IJho8C4648KOiqPEt8c1aYymBs4kiYp6T53CXnqbzN3eO/e9T7HiVnrP/9KPlIy/nH
Y6T8ma9blPYHtxheoObCtGVL+eYYqf+BkEm1MEfxQvOf325RLvRbjpbvZ0aGuX+PjNm9sDALB52V
wz/6Z4gSBtE/blGqMA1D5j8zh3Y/PBssfliS9Xg8la1P+B/UM9uvb1sdX14sgWizlhfwArT0xIud
3TQSnAY9ott2s695Gh0KVDXw1SrTuDRsU121KVvOZMf0sgTsCQlmCyG0uR2otmJi8U0kvg1BMnzT
DGChS+TcrQnlrVY7Bndw3/ooLE5IWqoFmePBtRbQnutIdVwFPci4BrVpJiFyaWp0mxgnb0ncrgFn
LqgAzo0SPSckhC6VODoTLp2iimHrQqojPzTi7DYUHJfB2LUSaKckOZgpvoJTpDk+rLTW3VYFnIVg
0Cmk33UXUoFByigeq1yy4JBnFOBapUQ8RWOUHTskHAlSjkFqOlrEHcQMxtTN5V7tTDKSA3XFerhP
EIT0CEP4Ni8KqRQBT0tcg1SP5En4ZCEnGYU7LtCe3WM8vq+tHMCD1J74iFBaqUYxpC7FyGlmigCe
oNSsKAKNjFSxjCQMiZoeOLbrbuFKqUsrRS+hP6iLHB0MNxo2kyhvgIhfmihlnBn/k5+WfBLj1UdL
Qz59f0ykvKbGZQpPxrk0kH0tZn++tApuaVuOywp1ToJKRzfq+xnVjuKX9aIIwz27yklIYY8tJT6a
FPsog76DLmxxHhjJqEQRhHoCiVVmbgVaoUKKhgopH7LQEZXBfGWiK4qlwEiRUiN6zLgOpPxIOFXi
nIwJldhnlaJv2tktYZSYrw5MXTDY1xpn/9SqG1j41puCPTXqHGbnyrQmT44DjPTqq32676V735Y+
fuxUR8TzyM77nvOURKIEEo4yQUlxKnAp9GD165owc6932G4RJTBkKGlOSNBKlDE1KGCvqBLCIpKZ
L1mCWZQJREsgYS0DLzjVSLol/Po6lUCXPjJ3eLYlTh7YSy6xL6TAocWW/QOJhIGonC11f4BeCC7G
gBszTfo2kiCZxLJua8gyukTM2GzH7CaXKM3A5JqWoD+BisuGTKM4IGqwchWLUWJrABqK9VibN71E
2vitdVQjfBWuxN3g+N3XaQcABxIO0YvEXBYRdwlITmo8NJp/UoaAvDUkd/C/Nm0lwTpuVm+wS7AX
42lygO+EQHgcmGutzmtSljbNgCx7KkMOajZ5HIliO8s00rQTZaux9NEOX8dRRXFjkuzROf5lXym4
1F3kd5M74wGQCkoGWEyfxqtJQxA10UPeQx53aBDp/latWpOuSWFupsB3KcSqZldW+SEIVXs1BZ2x
b0Qw76tYUzYmocCrAh2nUIiOm5OJ01/wUCqZcdZjoJasfslOASDmhcxCFIPuyhj4KxGXjxUogy9N
zuAk5DW+suP4bY7nltrapbr694z3F+Lrl6Pti7f8tXiJ8p9sovq3g20dXzDaYQeMLu2c73RXpswc
RpNsgRw3sQZ/3UTfw43YXoEbCnYH81vdFdhFFPIqgC8NffM/aMQi+/huA5X1m2XoNq+yw1GTwAJ5
BvymuLLhajiZHignTUk9IKXME835zR+whSZWKhadoa6xADJbCrJ0Q+BWfe3WmXKl2z0SVCgauQ3C
18Wj4eK8X3aNVt+TRWpPL5ZCb0yEvhxCYeGPK2nrR3LEoBBpRcM5doMIrF6M0v4/QmFd9aXirpG+
PORlor4EFbiASh/LdRGCEBjQhi96iRVoC/6tIVEDXaLXT0xzwQ9IEMEM538/5PY+jmuDKV29I8MO
pwr8gk7vPjNtoush0QacFPRFKk8BUA9Il3DJYbRWNIH6S0eiEbI6DlYoAZiLTAxrJ4lQqBPMIyQW
sKyRNeLQjF3oErkwo6dBC9Cc4yanJza16SMNzulG0+4js4lYhZNL1otwyVH7iheQdRG+AzsB5zna
X0NUvjQMFoXD2dlsgaM5Eg9hS1BEC7d8nzPiopkIRoJ0VHXVvLMlaprCNM0ATvQl9lpui0JAeYRW
DS5F3BaG10bmvpJK3qQvxquZ1twmBxx1NUK2KCTiwpWwC/+de5HMc7SmzQd0BQQYSTmxJGTUkpUx
v2MzRhBeSwJxgWnEYTiDO8lL/8aS8Wv9exIbD3a+y+u+p2EF5sIXinMRmSAwFyBmIXPxw/mFVnX+
ldaFj2lIGk2Yi+egxhI3QFhf0dZ4TLQ2WPlt+YVWcuahRz6iLSJ7KZ5OKaZDYp2yL+FsLfEitacJ
tgigaSbVZu2wrOcAopVe7Oq+svcMUzWvj6ebMIYMwXq+MUP+x61Jcx2tzlmY06CjWOvKgT+g1Tum
/nWPtvqit0plPxk2cBMjNc7WezxXjUmJamC0DE9vwEdSOLXHunKJlOZBA79LeFBdWdVBmDTqlKIg
QxmHFG7KbgOe9EkeG1vUgYR1jM1+GBmZpn0Azcv0nUuwPWslc191pSFYMbsquu7OB6PclDZmOl0p
Lyclmna6AD+FImqrWBy/mSent2rs+8wQ31plPEQprkPTPk4hIF87DjfVOEGZntd85pMz5UeLTQ21
w8HSomMWkjMadZZ/kTtEB2dQp9ddGNyE0xiQKpbuUJdtk4qb5IT0ewcmzUps+wvyh5+DbuANFNEJ
NRYpTTkNV6XtMw/YvKeJdOe21sqpQaDXzmLAkgtT44uwI5aWbM3kZk0SDYoFTqmBTr+Fo2tYxhC4
TAKC2M408hbDFvMZUax3TqqedLO7E73qINxwC0HyuSv2vjN/Qe1xbc3dziaaxsiylWiJjFTD8WAp
iRf3/XMojI2oe/QKAVFBFtL8JL92Cv3VTXiHs9R4a93p2lRGsQQ0jXpvhptpeiX3GNckpBxqQOyh
qA3UEods9jJP0y3VIVLpJN7VXXiGfn7KqAHYZxFRFogUCgbBXD611KssHy9RBHo6RuLc75aUNYtw
VpBno2bAqZeV5IU1zGYtacDVoxfhdF6qlFsFeE0SUgiUxSkvVWeVq8UGWi3ChC4468jroz7Yjgjm
skI5Eju+Zuj/XHVwvpPRq3hFMJ54fq0taRNSMKVvdfpW+N31CJ0gdtTtpNIGGPIHC4FGM4NQNbkG
7RbT109YMG+aVqwZTZGZO16bo3ubxrOOyBGWSgGfMTNrz/WpqUlqYlyuImzKvkyYnVjh1sSAek3o
LIUD5Sdowh39ny1RKA+q1tJGd26EKB+csLkO+umqy17zqXyrVJJ40lHDYAG4XZTrxp+WSWCuQnUi
rSq8MkhoKHrjmoHCF01p0Twg9yekolTVreL2W6dRGLmnN7FVHFtLu2N8tbAJL1oIq1z5CloRtVvz
Kl42rrPWjGZv+KiuxmoVlHxhKPyXReXncH31l6ErHvhVBNH7NAcbkNe8SWDfw8GDE/zc5A1NLOVA
NsRuVmxkFRT6fZ2Q8MMmEZY+EqNwoigU9kZv+/usy59aCFRTae8gbXIWggSFWWCbUw+rY8b4zXIx
TvcPQ63eF3V8XSgaucojEwWOhKi1grzd2q3F02lvMC1eIVw5lJide6W7QTO2dUb/5MuYVTPbc7i8
QMLrcKQjQiqdzkRH7HjBiD1zruIayqU2PpYCEzsnVU93nTu/FldN3ZzyxrqGp6Qu4PUy9reWfYle
SzqNcis9ok2AHlupiyENLmq5UM3Fw5S0B72GiV6CzaO7GVN5NoNsbucEJ+d3dTntNb04KLoZnhSf
vl1Ah+qmaSBIYg3Y16qKwmqgl5iw8cSv5I/fxW1GtjGO7YVrt48mPAgdiH6MhjuJtFeR0S9rq4ek
DndkMJ1Yb6OVWic0oJsDTgLeyxSj0qxqj6HVlGvXSG4z3Ci0gpNNYmjnOHFiJpb0GovBWNNL2PqJ
8AZdyVbRXHg9MBM7GEhknXQZ/kr8bX4eA7GJ/XE/5tNrqQC/aOLnFi40iGG8jz4n2ri3V10XrOpQ
yT3C3qGIdF6WskmARNv2ivPa99YaEPEm6O11pI4r+oCsPw2528E4r8csP0wtKqHWui0IIOfkSrxr
wwyOs4oSDso+R6xTqmhAENTWWoFEvL2YGYM3dfnSOdLLD87QT8eL3qQJmqlsf9+0hP6/OnwW5lBd
IGuT9tCPnsx2qOu6i3LlpGbbKE4WRXKtIOX79UUkS+ZvV9yfZSgOVNqcBvAoQ1Jyvy1DIyVThWVq
yml0PtfE03ePI1IbA4FY+Jsr/azg/fZK8i/5puAt/GLS6P0oqDgvQ5ORmE0u5rwrxKe4e4rwP/36
g/3YvOTb420CocPAj4HO95dD1s4ZMS2Cc688td2hCl7y9OXXl/jZJ6JapljmMlgVP1zCF5DH3KkM
z4RAxsOmQ5KahjTlg03EvEJvf5Om9pNPRDeQQwsdXxqy4sOJoc9Fo09qG52jHOu2US26YFMmv/lM
H0y68ljy3UU+GPAbX2kt4XORGMVEWx9jN1z++lv73ceQ//83z0Hfzoy5Yb+d6/ICKaKXFLcov35z
EcZ0Hx/r7z7Gh1tTJnQa+qyJzqOCZM9CUnY2o4YF7tFCwNGc9K75zRV/9rFoSoKzwz9qiY/u4yRy
cKbEWnS2q6tKDTz0Wrb/5Z9/dRDbAVQbPAekYn3/1fmWoQinr+MzAv9VJsDJwY5N7359kZ99dURx
McagYQwf+8NFiiG07SgiKbMuH3NxDDkpxiwGrn8Tdwezp7vqX/36ivKZ+rAGscT9fcUPNwuog1uX
2hSfVcZLfXMPf/s3i4FEj35zCVrlkL9sgo7BfZuYrT7yMmj6hEk4atk5PjL13LF5XsB7XFlX4bXl
ERm7JgJy/etP9f0l31fW7z7Vh/WO0INshMgbn3sB9QF9ie6yKBTbX1/l598dYi6VnRMB/4e7JWak
+S1oi7NfuZ6uHWSb9NdXkN/+x7uDrZunDRq55JJ//9CVjR5pE1jAM0aRxeToVJtPkRkwt41/81l+
9o19e6UPCxxTyaJGthKfNestdK4s/6aaf7O8/fwSRF9oLhQ51f7wqEVa0jvmHCTnPD9ZDCHGSF/o
nfjNVvezV4iH7etVPtz6pO7Ddgq4SpS8pAp0G2VVm/iHOi9pz0qySa3f3KMfPpbOMAgroIpgASWC
+UHVRyiBXWY26uq231T10yBW1Xz968fghwftwyVos327bOekBRsirNLzMOe0x4PlhFj/f3IJvCaA
10ACGB8+RTyOmZJy0jo36Ysy7xCC/eYCPzzKfAYUlkxN5ZAM2MX3n4Gl0x60HAE2dV7WWWjjdhFK
4tx9e/8g/9ph5azxv081L97ql7fXH+ea8qe+zjWJjpcZCdbfftev0hvtD91ENevSD/3LUPS310hQ
CdsytJRu3bsN6T/SG/EH00HDRtJqoJOTUTj/oC2rv5eFf6920grLVJWKkZEmNaP5seg2FJ1eSJUk
J0012xoXQ1SqXtRnpnIPos9G6SFQbHpdFVdXmp0sO1CKkE22426n+vEmz9+zsmkFOp/o6pAsEPW3
JNbWEOrTInzwiShFLwbbd6Jw9bLGPyGNiJdWnLXbUrcAKw3ZdZFMp1FJe+oV/dnnQfasOjmU6nzO
xciczK8/jXAJyfGd150zfprV4VWU9nVpFPwCYy63wWghTnGKrdm4V+SiYtWt9RVIA3pImipWJT7+
O5+AceJjEGCqExi4UTsReXU1ZKDuxQSnIGACRpfY2fai1EmKHLa+0B/NEkzEUDDF6mO0PUVR9SuK
iXhbGhlQQSgKCA19AWo9fOhwuyxzq0w2gfTkzFLpZkjNGxgF5G+DVMKh/uAIXL0L5MhMBBopVXNh
qJarRCrpGNziRJDqOlvq7IRU3BVSe9dIFV4k9XiBhjJvQqJXSa1eKFV7udTviQoiERnezTp8l/cx
HcI/huTPl9q/XKoAAR8D+JLKQCQviARjqRf0pXLQKWtOfhmsgIC/Ia+ivWkTNLEjAEBJ1vqQwOm2
E+2zVhnmkmS2hV3F8UXYd0weCflsEdCEkIJlrvJatbIrE2Lu4I1TAUK7Tt7SoruvmuRYqGqwzOxh
k0JW8LCCX9SuctFANFyEWbS0yvR6DPN9qdePupIc4wEyZaVnt8xuh1Urg0DK6qwH9mWejV0L8NpO
ztKspa8MozegP1thPF9oFnNBlQCmRPq/DLP36WqHuy7z0WhLl9godGeVzcHL/O4gU4uCwzYd0kJq
WC3pNAN4/kLnGT8CxClvlH40IxxXnTSoZZi0pWNtanOLPlkfA/ygdQ/D/LKVDjdHet2gqkcLFfvb
GPEvpR8upNVic4DyEpW0ztRyE8+R/jkGpf1SxVJnS29dUlsEgZbAFVW1PYhoRB5g0bqO0kZZqJn+
JEYNjMpU3Az2SBNjIojTzxsbLytla+TgxFZJ+sER8Zb5wWtaIBHn7fLaeIJqR2HTWcjQpp5mOFIC
r2umbFVodH1pWLhrh0df1UwSw9W6BctutZRyCg3hAU+JXST7vGmL23/3j3dVjFQy/vf94wZCJDVe
9+MOIn/u6w4CZ8ikYcEGgkJSCln+NlgYf1A4gO+UKP8/iQl/7SAmiT94KCzOTiraSjhFX5UxzPve
txRUNtB68L/a/2QHQa74Xb3MDmIyabSpXpgdCv4UNr9vCyV8EE2X1KI4j7Vqr/PelIoPs4eiPWxD
GwF6P0k6jjqoJz6EelDhDLLgRnayIzigeICh3VxwhsHDYxgVhy5hbq2xay6HxC9fkdtkGzuF5xOm
NqR13EqRV7oKsvBMU8ZzU2ftiYXIfES+0q41nyrI830tXc65n18mQem+gvO/xt6HVkXTlD0oE5Bn
jsjuWmeyHpmZ1DeDbnUXbRPaO3hCIHrtjiVPswjSNDq1RePX6G+oO9MHS03zbWA1iEhLv3nuOafQ
QAarY9fAdux4qHFF9OUV8/IVioEWH19QLvtBMwmSVHKzfymaIDQPGuzaaVy3RdJttLntlDdA7xJH
ZkpofgW1pT7ZYQmaHSx3yHjJVZjiddRxc4sFbbgkebcQ5BuZoBfWRTo4NgtKXw7K0mJEGR2EkrO1
RB3ylbjXq2yl8267lT8+iiE1nklzt0Dik9W4xqhl7aeOoM52KOZn6UnG+6tH6oFkIsIMAs0FO94H
n3mSIk/N5/nZb8L5jYXpoYZJmgfRXrHxwWUaQqbBqpktlEOAsV/r0PsQRXYIGLcck2KE/Na68JNp
SSsw14YgWjdZC94NtymlQ1Ldm3YEnMLV7oykCrewCRnTSAOFhUZjK+JG3Dhhme1apXXvShVZ5OhW
6jLTpVYfaw+tlUbN3hpIpp8Vm6YmWmI6+GN2ih0NIG7bj5tegYSBVL1iqx79qPxiEwaxm0o/vyaS
siE1dBZPwazZy9m147vRT+KjjcadPaqKHzWfZE2kHtOxSebice5G5cDDSy6TnQ/w+Wv/wZmz4S4H
GrnqijG6UaKxPId9SqQM2jIsIqbZ495pTI2CwiWjpRmtBg7vBE8nwACy1Xv9jUCYhZkae3scjCv4
JIyS1EJob2VRzusqYkjolg21DZD+P88M/9by8pD4i7X4HW2zeK4//xwfwA//Z0HG8UbXCyo7hABO
bioL4teSXv0DpI0KCADsmqTDfVVZGNYfcglnoRQyN43j69cF2SAMXuiCKb8U/rGK/qOS/vtzK8ux
y3GDpineOaSPwpDL9TftRiPEG9kytL4MmcM2l+P4+M3Xcv7zaPC/UOOdgU+3zf/93+aPeAKqcHD1
lkGX2YUs9+Fk3PmN2fqs0JfdbK1wcH6ZSvMy9eNrq26/oFEn4qCOlplJ/K+m5DvkTtu6iledTRSj
UARD68HY5Db6yEa9jbtwTUjgqwKsnY7RsbNIiW0IJFjMYXrSes1KiE1rK+MUMPEfaGDgGOJLRDZY
ZdPaKKYZO5lq7Ubq6i9gr0hhyEJBZRbZS9OM0ldA6ISzoIRcmahCFrUaKA8xluWlm5gvXQgfu9Xs
wDMJSjsQAEN4meac7NJW4B3UD24dGCu6RVBLTBPc1jgAhdELdpoagfhU5wck8E+Jrh8tnfGlm03H
AZ/SNs2LLQq0GZtvdetb6caYI9ijgO3mOUdqORD6aY5fskQ5taP01GczZxvUDwE2MDvOMBbhZ65I
C1aVbV52+7ZU6eB109WYgJyeCSAJ5nqptSi+bPvZ1zDUtVgX4PouuyR6bhv0MI1tLpiCbAmKPynM
nqj7ltCzH9EW4BaySaG0jmZeWdCP+ouU04HAaVCXhAAxCCQ8wv0UR3O7nZP0XPuo35s5PLSR+lhW
eovGIN6binnbplSj+kwQiTGbN5FBjzZsxnDVOdFuSgEfWTEDfj8WG7WiJV2I5KkzXQK0SeMCzr/g
MezXITFBDHA9lDH3JqqSIbQuUT4+Nu18SiJsdxmj006WAmZ/QTTGrpgGskzj+7BHzpK5AziV4Qit
/kZgAAfwnt4T5PuJ1Rp0brcuarF3ZmutjPUTkMKS6Ze7UYzmseDDE4s1bpRpfk2wczJq9WofklMy
Hks41Rj1mOuDr+GXOo0OHghDoLCfeAvWcRQ/Br48UWAYWStdx2NTfZmKeOsAfjaN8qmr1UdFUW8a
m9NZ4sdL3CueaqWf58S/SjLM0dgXjkksx4uMiYmutvE1k71XdqFH6RBT72efXY2DhFKGyIhm2yLm
o8n3USQgzpQgZyxxE7vmQ1c2AKd1ThlpKd+eeLhRtfigdKWz0CuYuFaFpZ8QnOvRQZDTTV16IASN
0B1hNCs3xcOhm5G/GhpxGbS6gGgkPqGvxila+czKXOLDQ41o00Vf4h5fZnWP7SSbFJ9wg6iPLsc6
IkS0FOrS5atYGEkZeLhvmazSCFialIKktSoIn2fSvfPWT64LR0Bvyzr1UAopAZn0BdrJQ9uisjbL
Zpd3I8pUAwmqplfNFklsvAqi7ijAxS2apAQGPluEKc7gRkZdW0AkLlcFsB8O71F6slMVMmKqNPgk
pQTJL1+sefpU+8aznVRb1reLONQyz9WQJE2pcvQTdFtaqqFlEtaIh7DIbqj6kEVptp/edwg7hp4z
LV0WWOC4TPXUq2NzyTizWxZlfrArmwVR44+2h6u8M5iK2BJuMe2Dyt+mRiXzjHDHtkccSMADwgs1
Ve9pn3qUmfvB9VN4T8mTGfvWoolab3B8cdBQ9CB/jezPVHe6N88VYi8T589tomVYciJjY9jYdA3y
rbzQmZMVmUv1xewkl4ZebhO3udIqQcxug7IIqQDzcOLYNUbglO6rwBD1Lp36O6GUt5meeaisu3TZ
IDxZTQO6btacbj+oonjKoXuy/ipgmUMyKjvYNFwOiHOJZQIVUz15U2L3W1KC+w1KgWnD0g+krOIK
epfe5sRjLkFku/tuquM9zAqi5i3AKnjLdyjsSNkq7FviiwAtm7HsRehNtZxMn3T1pLoV/nTroM9+
mP08QihNyqCFuXphD9TRVJmbUu3zDZkZBQZsCuW6t7qHOkqd9ehM0exB1QAEYYbt1uxzbvFQrg0c
q8spKx4RwhNVGa1He1p1TXFSJ3ufVNOdGsarHq7kAiXbXZfqt05XucRNjP2uUOJ6Wfjp5JUdimRU
Io/SPLA0RrN66KA3LsuCpk0S8qDbCMAWEAwe9NFtbziijGsIFy7ZVOq0+vX2zEHx2+mFxJg7HBY1
okM4ENI9/H77R4ImDCeI88tWdtlG0M5iuBrq5jfDHtSfP7sOlkJLEp1/LAJaeybgOMwvMxIPGqHf
sSqdsSw9sVzWi2FyuQFTuu1RVaZOsm308EhOBjbt/MBKdbSQdMcYsUMEQwLpsRHipncJcQr8N+x2
tKh4BcyZjBM1eP4ffEMIXW3mBhYzkQ/nVSvriohTSH45EOcSTKjb4H8Xf/p8Xsb/E7wVP6mSXNla
/7uv+k4xdJlSkdHDN4R0/8N94EhcTllC8FWJPwuevLkzChYG1a/YN5BqSMXQA0FVxRXDwOXkqrvB
GeCVTgSr+oZ6NccZcp+5uyJgzr3J2ZW6or/EUZLylkB/t/QYN24RXEYEtY0+LI1B570RGaK9STL1
LC19TtqUiNEg2swDyv5GI1gG4xvIc+NFqfU1CTZowYxKLCbTRUBXGZs4rBMsCSWlTShIptDfEPs9
j7a16OiFLUY7vZggoCxse1K2qjbEFyrnscU8diF1E8CU0I3h8UTBJ7/TsttqsNg/NEAvWYk6BYv7
Vmiw1wu2OE0CoGIbuqqqnyzVJuxjHgPW+/Toq8+due4se8e6+OgoKfwUMEkTp/wUmdYqx2CyKEW9
MBR1OZuUHiOv2dIOumI5Ktm2blFbZtq4x97+nER6+AKYZqOKKlvaaXihFzPS+aZak6yAbwL2SSZE
SrCMtiARYTyQnXfx62eOac5PngfZoeFxIHMRusX37yUjsYIgFKu9tDX92QBKs5xBIF8KRPmwSsMn
cCicupvQ08QIxijFKmKkF3wrWPhCokMgPlwQUAuSSr+wCufBMPOQw7NVrbtONXeZhYYziOjB9k7v
EH1iZludTX05aFG1dGqFeoSFSM2K3Ius6obWJHaesEEaRldh0ZaVdNuuRTa/1IV4prNkeb1W2F6d
6XdCn6idp2AJT3EpYCZ5NepHcELiIXYEMDL9FWlIggCMZYCEP5GPt/hIjjaBglVhEKJMfB2zgW7S
b6y+v0ji8IYQ9OvMdjdiah8wdJq4dQp1JaqOWpAGe9PBM3YsYIEGQTaqr7NzCOVZ4Zmg+2M8aoby
oIVkPlftbKxC9IH9DF5BGQsUvvVGVeOdSwY5HkeExP3STMD1O85wsHGSDhrnbw1YV5e2t8ZQXrrO
uGuK6dkYSIwz6uccxLE18XcSQJOQ2UqY6tHOxXqABxzaUexF+LF0N7qCdJXsJmdeFQ0i2JQQ2JKC
BrYo5xJexl5xr8io+QJn0AfhQNQuYNC27WCaka2sB62naeIooOKgbuEugfFd0T33BlmhJl14VDR/
lWgDGVBoRJXobIVwh0OMlwmYbXZxbL1bR0MHXuLiD5jr7UxzqWnsmqk/rFu2dwJw4WjQuFimibKJ
B+cwo6yyXTjAgxagpSPRF+21BuoQcsjgnH1H26IGpPdTHZEPUvW2qXJKS7jQU2rvzWA44DKtGHlI
unGJjH9Q421YDhdKwykhJWbSoJ3c2bnnD2dhrWzCm/BHZeNakNFobuFd3Zcq3axMvRAWZOvRN4+E
7ID9933/0Om97TUYxJBEkvYy9POypG7YFhP990nYW2y2jB4KkB+4tklxqLXfbG2/eVM/TmX10J1i
t0w6gqpJY2kuUNh6IwQnfzgl9YXGieXXa4Mcjn/cKb5ZGfDSf3dg18Mw53TBylAUb4QZ9+M1SeF5
8DCY219fSKbC/XAlRnwm6QuODQ7g/7F3HsuRW9u2/ZfbhwIe2I3bATKRlpn0pjoIsooF7z2+/g2U
VDpFSiJD93VPU4ooIgFsbLPWnHMsa/ovpYGhafsqlnsCYJQpWJfR2LjEVN4aIKp3YSEx5sb+UJYR
xG4yeC/sBUlqxoXEYQKX28DfJZdF+k7F+QoDvI3nu7uXouJcyNZNyvaNU4/bNurNGJCsnbeBl7XR
lzzWH6QwLa+DLukRO4ZkTRjdwcCszcZiPSkgtNnibfJWsx6EKm7KGQ0iyMdOa3eRph7mYNoZpTgP
CepFlm1LSg6Jis2MFpQUAlwslYesrGmP+LuhJCw6HW3CR7LnWZ4w1A3BUzWK+kFdksDVRgs+eapv
6y2/L/S/PtR3CgvyR0Fu+fZ4sscv4fwy2Z+oIj/7++8WDnL72SODcDlF9g0Ic2Lp7z4ZFh+PCvPd
+MvMLJETNZhOhnoZkdLDY5LD6RPBxjslwhLqTL4Dgc9sSRUaGe+G3mg1Q4grZDoJ1VXbr+2QsSe5
i0brk7ehvh3jP8pfmoUfmKWW0Ap2pm/H+BRHJLfOpXpiG/OVRW11m3r+Slr3TuQ+OLnzsDPd/vhy
Hbnh/bh+TtfTC190s9V2Hz9V9W1b5Pdx8ctn/eOH/vKxiT4SpSCi8dR69PZceT3edBsYoJ5YYxus
PWXDc/YInHRkJ1zjCOzX+in/+vGvMP7uV/w6Ot8pc1KkwzYx1tPpcdypa3zDnri0nHOjO+Fq82C4
R1wJG3EKvXELf2h766+Czbhl3nPmDW6lZkXpbCVW0rHb5pvmjPocOfHqvnC6k+xOG2MndsVh2NZ3
mXfz8U/XPhv473bQktpEKfQ0xqVDb9ZrXkuvvFVWlQs7bwWJeA1Qb19sLr8e190OxcDoxvvYEfv4
BFvXxZuYON989/7jX6Uumpz3s/UvD9R8p9mJoqKvLZNfFe6EE7rzFsjjbU76E8IAx3QITHYBvm/s
U7VVv1BIW398/WX4/vXy//mO3s02TDX4ZstpPMlzsbaG4TDj+uo7+Y8I4X88vyyzykfXeTfr2JGt
9f2cTif21E4/fJXH7WC+TNq6oh0mld7Hd/X3r/rPu3pfUZYyJn+jirtTaCEU8a/L4Or/7wLvznza
aKemmXGASoyDGlMHFNbq4yt88mJ+dEl/+dylrLRza+JDK8pTQ0haqT7O+L8+vshnz+nd5NYo5J/1
VtyexuWtIEYRY+x+fInP7uPdAOuKuenyJptOAwGtkXnK8K4gIPv4Ip+MLuvdrGT6gTRRnGM1GE1X
F6R4py3N4c4l5wxluUpo/GdSuL+9ryXuWaHPgmrq3SXR4Gl+GbXdSc++17GXaCFFvs3Ht/W3r+eX
a7z7aMCl0yIM9fFkxDr1+6ss+6Sq8NkF3k2Jc5KNWoz+6CQzaVOMTiBXfXwL74TDP7czf36K70X3
IekOqp8yjjkbOBj09xj0LjgiuPvaDdfBufsUxbX4iz+ca5a7/uXTwU6j4TsLWaMeKQznzKqEgzro
rp+V47zrncsZjDZLt7HOXLrKV5Jz3a6XVf3yqbrU9pzaYaSs0bZsczfcfEYK+9uF/Nety/uRE9WD
rPh8dMp5Wcglp9mk+i5XXCfZ6KuH3NnLznT4Lr9wOKvvpgO5QJ/MXot+8MMn9O6991KDElVM7CVW
/QoNF1ZT0xGHdHUtTuZR23SrJ9WDLUPF1qs35eZzcfdnP8F6t+6BBpb0fCjbk3QgMQGAoBN/g4O+
sg7d67gt19nR2kgb6XvwpLnjJjkHq/j146H54+D1wZpkvRsnCRFTepMzNEkv8SqHKN1lV7dL3Nt+
hxwRwoYzn2AsPYAbXWVeubEuO6dedetwByzmy2c0vR8Hs7/8nv987u+lk7Yk6A3lTCnVWt+YGxxv
ozd78zE6KM5XrJoe6q5duaWodxxd625tszvI1+0m8W6i1bJJ+GNz8N/W/VIt++fW/ZmKTMBgesVE
0067b//7P39EKvCv/uzZW8DaiLOTKY/rPzRPf/bswazTqDfo2KNeMgi6+U/PXgPjZpnAaKjbkTC0
HKh/ynC13wi8pZQO4g1g+RJK9C9kuAhg33zhVDeR8/L3xSLawoeyEON+nQMrE1nTYMk+YkglXGtz
mghX6YR/kMZKPuRW05NPL08dvaFwH/nTkx0oTItW/FWDkLSSBmOwiPtMAWJVGsUvuazK9UiDkrxP
MyzuCZEFW4uWrKFMFE50Iwi6Uh2SRupnHS7va9vJfu2puQGAuekBixKul/tj7IVdFFekFTUkaKe1
3ntVTQbJfrIgnQuQ580P+DnJ9Oy344WJPtb1dwliJml3FNiNyO+JshPfKCyBgpqgqksaaTD40oFW
TwH6HuDraaecS2DsDf37eR6uFG2mXSAWJ8GRrPAdVZfdGPmza5h0nWYFwnvR9N1KbfTwWOq0lkvp
Mqa6cV369qFdCPEAfnKXFVk55k0BaVwakvVkxrFTl1K8sqruPLbNWUooFgwBfLoJPc5cFMMarJQp
nNRsyTOLtKn+nmjtTZTKN3DMM6qiaZtfSlUyX2h64mHp9oLSDB8L2KVWi/SMvjsOSSJMtSL8bjUE
w6klzB61oJVM7LiYtOxGMo3BK22S8S1K7Ku6zjZ5tbDpycFAaEq7b7bMlark4bkPSPGNypiGqtF4
7SgV1ybaAUFObCNPVMAFHb1SVdwoki4U4De9iZBi6kr9rhFMz2FC4sBEE0ymD0BrOHOB0Ncok63y
yfC7pbcqCSo+OQVmt6Ev98me6C/7Lj446tomUhRaewAi3g5soK+DTAsyPqk0CjwtHdRnMLG2OxBf
+kcl7b/z39J9++f576LIgVW+Tn8zA/Lvfs6Aqvwb0TC4gHA1/S4y+nMGXHCVCDgt2TRNQ9aW2Jif
RgTzNwHGEtM4uTBLgPfP6c/4jdeK+on5kRQp5E7/Zvqz3pUplqoN3jtkqkig8PSQVfp2lGRlquOW
tTluaHPvlbKvrygqPlmIpwure1Bb8y6Zr/yp36iVslYr+6prgzs/nSEtLsnMJQbuKp8uiAAOpK/a
kNxltFspIzKe0ei8mC2ZLtMQkFcfb+UgJyazK4ibqX037BGIE2X5Rcr78kVp8whmcDqsYeX53hzG
2yGqza0f1Pt8wOwaa+FDRgIAuVBPMykBaWnX7kCA/xQnVyLUnmtTeRz7SXXNdrxogQG4U5iQqlvF
h65Dq2JwDH2YZPtL1JbRAU6Cv1YGw4RBEN8lXfqF1vO80zP2Dw2kctOet3Olfumb7CRyagumdSPq
DSla60oUaNPj4a4Loyc7kraDXDw0tRTsLbVcCbgCWd6flJjdECetcYpOS/Z0NdHgA37yrSBdOGhz
xKbmcBJLzHIRqTu98MjPQZVCxIR6syCNSdJok6dKDSuHn7hpmnmxVPSrVCf/oDVqxOyxisdf953C
aBq8E2Ip/dNK9KUjZ+5hW7QgE/yoWw8F8zNxZlBkZk83Q8Jc05QUufRbjQN91aoNEvla3tTmHLpG
311OttjKsYzO1ae1H+ZkaUTEzaQ514Pm2RgBdAGrfpHnCWajjHnTnlcF3vnR9IVjd9YRlz/NC3HK
QEyYsbE0WGMEWiH4eWtlGTP9DZ1kjlQ2+mVdJAKZtA3XHHqYGgmg9dRqKJJHbeZGFoCGKRLEuGTz
pWitZxJcdnRlWq9rCMIg53TJH7oaLLQWloLrttK+TkurRGdZypUspjdaw4vW7gx0bFWW1mv8evax
khSE0MVFGY9fiKG9D5vmpaxssjaHyV/Nplk4RdzhMKiVbJXE7a6f2mLVE3zXRah9Zpw9Cy/0Clme
BnNs3GZKW3jI1lB6TObgJMVOU2lakYv+nfdxKMryrNchMe7yhiYxESFkjQAAJ9gj1W5i1GlI8UBv
DRfFrLKlbvO9DyaE1uFOzTqCxxCm0WN8iZtgJ8Jgg2g9dUy7uR2a6KbspDu87Ts5L/YdVOvCNHeJ
HJyJyf6SN+mdmRBXmM7Ac7T6oHXFRdeTB0tAxhVblw1y3KPemat8HralKHbK4iKc9C2ZH3vWaGRb
k3Yo0+EwNPKljFbaYy1b+UH7OFjgQxp99qK6PcMtBdg2W/taqNdGVB6SqIc+NnXcYdbt0EOfdbm+
CEqL5JOeVCR05eQs3TRF8xDk1YFtz0UX0usLpuschQ7n7PAhSUMPh95DkFgbIyi2mRnZu8nIN2YP
3yyy2gstF5GL9hPnS7BD8XmVST1iMblyw67e9UJ+hFaUuracpiuhdtdo3I5dTf7rbNFLw6b3iA1n
a3W9WxIoqRLs50LhuNBS88tsi80g4X8Rg5dG/VNOWix7pe9zQyEowvsykzIeyexyHWuW8uxaZafs
pvaQqmTOGcx9o6btJT2b17WZHkTQHXWR7Ma2o5qniEMYhme9Tw9+MA0OSRgXg68TVyHylz5qbUeq
U6QHYlMV4lTnSUxM+cjWR1YQiSn3kdIdR0V/0BKJbOD4Zl5eIVSIl1IZ+RqDNSmyED6lh1Huz5qi
nORkXIWmtVCAhmdVIlg5KgOScKqSdi7volYML++QLVQ2AXmadjGJrCWoot4mRbyBFzSsGlO5J95m
XzXsLkOULo101cM4cFX9lpIl4Pr5JU6tmxn7yjE3qhKoKnXFLL+QlpRnv0INOhtflNLcWKrv6Bpp
+TCT9PVQj+o2GXW+5eA1mdrYwXQuHyYE34piqZ6iIGSQ0VxZFZoLBkUJ6YHMHTOQt03WPTZDdFPl
cBy74Navm20ugc8al1BNkgG559tgSh/aKuTIql8mizpO7l01NiemlXFj6MV5aIPbSAZfZ5v9VkpJ
55rtXd2YV3OqbOtA8GiUs1TVFEpIt+k79SbB4rOWsWzR6F9sWspwVWrmRUPN01xjGlJRog9VdG9k
UcvkD0RFzQmiyux0abaTiViRtBXZaMAAUFZEqkH+4ZawNG3rcdpYQS6Q9hg2aVDQK2cpqhx1IVoG
PeH/fZe99MAudTOPPVYYArfge6xKtHEjqjujaLc+oJrVuBAzi170exp0GbCC6Xteo7bnK3aSKU9c
La4VbCHkWBtp+tAXgbqSFzKnBTfeQ6pgSU4WmyRYZsFxUFrgnZXSPsaKBb7BmGsJZ+BgXDVDPhMj
MyMuGVLdpigA6B37H01Fjg1Hstr2hJ5eqnbi6WO8tlTYzpV/HaA77CqVnDkth2pr0zlXqkd/IJ+U
sJZ1rSCe65Nx06GiWGtt+9LHnask9pPuaxf9QHAYof0Z4gWU0WRVNLfowaaVbYXPzKz3slZvSbo7
y8b4CtTzgNaXLXxIrkykFW4jaY/lbBysKLsACKm5ppUhmiSwpiRtp2OJBj9I2NEPOJtBI7+4JtMz
cvAE7srAPBpjtAXv7AQJLEgxoAqSkxX2msA1Y+1KDNlNy2GuL6ZpleX5bQ5k0s1oohJwuZNl6ULo
istWaKOO1a710cUm4S6wqgNK5AcicQ9pruxrjZVWs73ELr/68QymK7gafXYKE+FHsx+ua1geRtW+
ZqE4SnnuNgy6cewOnUi/AtXjrCfyXSFH17Uar001QukbT46WmdtwRB+bSCTR5KDIJxKaJs5LM2nj
fo94aEn17gCYt7GyzTr1ET87LDtl9AyJEDn8k2wtKkTEacXsnjwSdos90gicAf+nSLC8Q2LdSWV8
L4S/AQt5Kfe0qpNWuZ0GzJlx+VDAaV9pGYmwUh998+uid8d46DAbaicE5Sc/0L6Qd4siNi5R0ViE
6UY7zkzCCwL/0CfzazkZp7ZEYc783h5NlcESFIOB7sGi8jSVytqfTPtcKAVpnqShAtIj9V2+SnXp
mLaEfkuB5jUNqXe+EcJJwcOyDSfzyRiIlhPMNAQFjcdxtMn3IvR2NOarUjKfVDX2vTKqHmUymxzZ
7LwE5wupPty17StbsUw9FdYR9FbhNqiJtcWaelFic0wCaT6jFj6UysJnJSFsVdXZd3yhDVvECrIE
/0U7Y6X0iIVwsGzSOdsNFvFgU9sd53pZtQ39cVxUXDEmx1U9EtZVTfpJSaITtA8XCWe4s8K5OZYE
QJEIrtGDT4P9UPtXokmfCPXTt8vnbhLBT9AfqzlKWO3JDuGglPqVMozRUWg5uphyF5TyLfArZy4M
GeNQtwkgEcpZcqwCedNZOhQqI/uOARh5nKaiarVvk7bYR218SHo6vukwrhu1fZyU6hqs1cIWsE6x
EpwyIDKppU8w0eP7KhVP+qhdE7JTHAwND1dH6runtvrTnIkdxQTJJYY+3+Q9f1iqFK9QIkg0+Lq2
IGpJgCRQMnYDPZO1m1GJVY4RdS2RwppOuhq7iWZKa1WhkPHv2zZiQS3T3VA4SxH08PYAhVtLHlU1
j85xib8/v2jmER7vJy3ZpffztuC5XMRUcCMizeAo+fYiiT/WmtQ0EfLYnZRfyBK1HPT/w+0vp9fL
3//gG4fJ313GWpqseAstagZvL+NTI+MUILNxV78PxZ2k/WtFxWJgIeCdnHce1/tn1YjJLAozS8/5
wEDb2v7zv/79FBlVnhAPaolPffv7ieH2Z9qZ2dnm3GFcGn9kyP+L3iyv4Zfn8+5d62YC6Zip9Kxn
gHPdBCYPVhfEma9gED++lb+2ZogmoGhDioRBFUe8exWpHQDZm4vkjMaL0C/48Ig9A91lGUYu9PG1
lp/9bnS9eS1LJemXNpCsRFlvmWl6LjUXbq/BuauF7Lieeu/jC/3dTf36/t/dVG7Fgqys3y+EIp0y
FJRJ1pFlKS4/GWvLj35/U2IJG7NZHTX1vQpEg/dZsPDm50bz/PS5H9eG//Xj23lbOl46dkuc7p+X
eD/c5sZgr4Td/Zzbz7H/pEv/h+GMgRh+zAKIIcji7XuJq9RodUnNzzEzoAacc/o/TF7kC8t41TQ+
G/NH7+mXN59LOft7fDvn2XoerFNH5p3cfjJ3/d1LZxCTJwBVd4EMvL0LEWZguHFmnolRJNAV+JRi
XPWobMsVYJaP38jfXAvAvIrTw4JYT/3p7bVCH+Q8Mer5OVzO1OtoSZRdW5VTsMe6/nGp/5Y8l2H2
zyXP265IwVS9/rXkufy7nyVPjJoUL8nBMhm3Nmzmt0ZNDD5UNtWFWbj0pH+WPO3fwDxoiLRVcs1I
Yfml6mn99j6W5V80fX7PqvplciB7TpcZ9RTGseIzQ7wbk0pvEHBdZNl5ht7FwdjR+8JwRrhecx4X
Xg97yYlhfukL/ItAPpgvyiaibhd20g5IwUpAC8vZk3TQw4amfE6giaH4cpO8vRhn5RgIfTuH6OST
BUAWWsFTA5EMnW2yNmGUCQrCrv4DW7YAzGZlSA/ZAjVLEzwL9gI6KyCedb+jz8C4LjA0sVitZ0ty
azhppmR4Gty0cCzOJcn8TiniR/TVplPAWLONihZNl1gOIubo3JkFxDyQbMYYtu68YNqiHmCbMdnH
FoKbBslNm8bXSZ8vSO1+Qbx2O0x9wVko2IB/OJgGn2rRm2fEx/u0pcciQuNOw701F+2XITS9ZgHK
1QqHiUHYlzqsuTQDeD0kp3iIvRI9tdstWLrYSkGv19IDKf2lU8zlSoZhF9bsmuZyOmgCvB2ZpKQm
Lci7cIHfSbH4MlrZJXVJalR2cSqrK3DSXgY1b7KUM6un12nj9QRVb4xjqsjQmjSF0lAqPfa6z1FK
9swOZ5zoKTZoafYSTd1dKQHtyxZ8nzLGp2kB+lUJ3KnRH1fNAvur9J35g/7XLiBAbUECBrAB/QUS
mGHucaeuvwknckQXkGC0IAXbKr/v+Bl+Nc9usmAH9aHYGJHMs7HxecjToVoQhXEsIY9fsIXFAjCc
Ju06spHzDf43ajGxE5mwDgvzWlIpsUuteRQLDrFbwIjhgkiM6vBagplowCg+ctBnIa3iW9vPv9oy
66qfQWRNvkE8ug+E3Dl0EcAGcFPbcsEzCsmnI16MgWvBbtR02l6R5btpEaGeijrc99nWmJONzOY6
UbV0jR1wQsHbvdLGLVe6CSZShhdZwI0USpkeQ+AYbrVAJX+kleSj0uDyqHEFMEtjQAD1YCqivIBO
e1dBqPTLznZ1OWYRiCTUBKNN1nEHEySFbSkXY3pUEHJ1dvMYQb80dOM6X3CY1gLGlBQQmdkCy8x9
TqpiyhmZkDRLiJo2ZE3NGEgMM+aT3Pnf/F5SVvRpr0VpX3f08wYtrx3F93dWIiG7Z9A7NgzPcYF5
1gvWUw0S4BcDAXRxhTtQmqdnOOwQDRcgaMoTdVoYoW2PNQJmqDJZQLwWjCiBUWRxqtl6IjuV1t7C
Gu2BjkrJ9Nz25m0w9rdJCt13tC/xLCcuWlndHRZyqQbCFBddDl7YWodz64VTb2IzrfC2Ke3i/6FS
SabEM+912hP4vqaQrDuJrWorVdJf1bG5SKkmcFImX5Ak8LU8zc9wvbdT2dKuNUmRki18B+QcWBin
CzLHq+GGJKDCrZqWPGI1INFPM/k9fZoTw88I5P9/V9NxosywmLgxQcImk66rTn5tMoaEbmbRvrCs
u7KuTk1KDRj35WtZymdLGjyyb02H6pe+zjm5eiZ0gVCe66OvyJsRrAZY6Nk+VOw/nIT+KwHD+ZOe
pYVXQLtZBZEt3L6vdXY8wdbXzXFbKNNzZUbFRjA16knkVVoHXC3UL+Y2PDepljlEVdurKdJuhjiD
9aYXl1Ujb+Jav6XEgy1EueHArboFDFZHLqxnUsP39I/3Kje3GiJ6HYbc3VETVVwf/Mc6xTEK84RB
DZ7rqTfnp7qtrtFSB9uAqD2QBB0xV1T99La7KW1aBHXC+8VutLI1vKqDhXE6yOoX8iiYKkq3CMWZ
iW4TVJT9Vb25nfzhPlHbh7qyYccn3YMuZnmrkAu2kmUVVhyaw1VkEyo6oS+Aa0omR6polCTjm5zw
85lW2spPlKchGWVHpLFnpIISsUhUDCLolGr1vjevhmY/+49DdNBD7SqPK4comftYyu4iLePV5O3G
zIuTCpCYKFGloe9jvipM9GtlFJeUdvm0AZiRSj+ljmXO0TrFVelEGF4KMRwbYqN6oW6tkRSxEezM
PCk3hGkcQgICyDDpHqx2wk1dtfuqPaGFoHXVUcG0gkt94hAAJjCit1hTIamjB2WaN2lax0eqt4o3
S/WFQO/g9VOXeFo7xs7MAdlpSpu35WfroQz2hrAl2G02nSWlCATFqE5Tt/pYvNpRFl4MeUsqDk51
w3qIi2zY1OQTgCCq5umkhDJq9Ib3bE2zuQ3slvI1Ad7MX3sf+NKZNmZxlmdp3tKI0Xe9FZ7SOrRt
THLTtJnHEWpdaVdrFo+YjBd8F4ZyoZbGjtlob/oMHY6rWN4lHOO1rt3TymKG6HEM6Y20DSv9pOtN
sM1D+VWb5Ff47y8sOYsFcCTFXVpltrVSE5lb5zc2mlKskjH9OkYJmrwg3KhyjHHbB9KRB+YjgQoE
WikY4IcqXFcKFjNVnT2zl5bmiHkIeNjlSyvvFd2/TnxrKwE/OkU1cMISVmzUZYqbpPIdj59VXElf
IavvewK/vLIar6iDb2K74XhI3oqXjyRzETNerpCKR45SDY95O9bumN4Y+rQyU+MuE9XlVMUAQuYE
AhD8hCi97PlOnKYYPcrIt1ahf2VyvaS3krtpyBCIzOpakWqPCU7ZDDoRRkJpTnlIhdCalW1utqoj
4uxsiRpcgB/SbkAJs67HlvEwBCnNjTl0arNZZyN6F+zRDdh39XluVEJ6BnKCInQoS7ubTe5jXZdH
fJWWW2TSWsGWhw3riaXFgxNxXVf9gS93SxeezLghvCvh07txlF4MCkttohwjvz2Q+/xglMrj4Ces
Ebn10KjjRTHSdh0igoNiSSkdYQT32STnLvyV3Rzta72+GIPAw7RHql9kX4VGyRotmXdd2V/MxO7J
efSS6sa+SjCdNtp07ClAbqd6atf5aF5kCgIbM2MilMKNbETmCnouHRr1OMjzoas1DbwTkQ7mbD7E
Q5Zdar48r4LWxrZDcXbVh1i8+06U+N1U2JhZjpWaxApCDupto8MTruX4xRrYw9hjd2mV+OQELOkN
op7mmFXYzSttOKQL77kI/E2S+tJGZEPMntNv+bgM2gD6LTqePWFT2QYZ1E6w21oCErTYdOZemH+o
jP97HFOp1vzzcez02j9/o6zwFwUe/+rnYQz9Ceo7jvlo5TRTWyR9f6bmEIRpcxKyllMQgjsKMj8P
Y+I3ZHl4qDlNL0k7CsrYnxIUUnhk40dupa1SPvhXChSSdt4UalCgYIiz0KFQ4+LUw694e2b3u6jU
DD+azlF+qU0W7DWfVuhIzNQ4q4MjT2rlCDU/2nN6bU/6y1SmkmuxPEABTTEyRw1YsVbsm0ScNZlS
0iiZLyJMLtJO3JPZcKcN+feuC7xKMkuImdYTWqzSsbHOu8owb2Q1O5KLA6nA7wVxNbQe5ApgBbU5
FBrJvUk4JdsHE/wA+AfwXqlTqMYjkSX3wTS/sJdGdZGI7VB1d0nUXtZCxzHmKxsCdG8Q8d8V7LRP
ft/ui6FnEyY1B8WmhzWCO83GgnueV7GtOZXd7Tobl5IpfPR8zLGh9NCV9GvYAxI3faIm6M16yP7e
svw1uYPI5oZuxV7Fq2zYSKyPJNso31hQz02imLiSq+lmJm8n6n3gqGXjzhX7MiPWIhdfPIC0HHey
kIynbE7UNWQ8i8REOd0TaiFW1aA0K2n0N6NVxCt7WIQnwkBGp5OHJmZHU7obE4YJDSPjntkSbmwQ
1Tpdky5oMXcbHCec0US2cqcMA3V3mEkVGseqlUM2V21fI40JYs7IYZDqK79AElKRNkfzdZ0000ZO
x+089CaxEAgW4wB7FAcS1/rByoMColtlv+CBXku4eamMn5zA9y8zaUIO8fV0f/zurs3zLxF8FJ+5
VE8LAiXJG+u6w1hb6BTjfAufWFqHSbkEjfQXQi6o6qJ0IBP0YdLNfVYiPckM9p6KUd3pGVyTTL9W
OOEN5bDDv77hwIlK0PA1R4r8LTbywg0q7cB+RXGEBBZkkjhjzJl9L/W17ZiV5A1ChbLVQ+8jYNP2
h90scKDLBTs2PchXopdat6/KTRSFliNb82Wu+p7W4eKXIjYTdXc/06ZNDfV7ofHM/Jg2lI0uyk/u
yNB5Yst5OSI+dMfW3ib5/NjUROjIRbhFXWG5KfKCfGz3WWcxmuP5sW8nYMzVczuRpWeoBxHj+I7K
JzMa2pWvoZtIZDqhaZ3ednp9F1L1dMqOhVW2sIOO7bqcWeRa66ki6tSpO/OiJiB2DvWNrPls6KRx
I0+AnLrui2EH19CfPUvJz0AizmMpY6s0Z/UY26SZVmZ+nJP+pGqBl+TfEjz1He2edTP4myIali2u
rqwKY7qM4OTass//GTi/t1aD5acZXUJjnzPfz11DTlpXbvQ9GQyq0/fTrTnDJhuL1KI6YN3meXAA
ePI02+FFKsYrTZU2isyuSlToZTN5mwmbYWRVO5rsDEB/YeSMaz9WX3GYsOnplVuG8aPVRiHTQnFq
I/OqEdo3wRF3HUvDZeFzMsgaRXf9QLXIfiL4JDVDtFHkdCHQHdPLKRHXCYWGpU9Z7fw+lNfZpAxe
boqX0W+fk7S69BWCInzL8FfNIPuE/lRiXcfGobQb/XLWbNKTipAYWQS4N2WufPUnTaUdPd8hqD1q
c/Ci0ELu0m7aZr6Q1m2inkJCetlBhw1YIfr7FFxei9KaSQkLE44w5YKeqoRTtoInICyCSw0S9Hy9
PpLMd2hVZR91yg438XWNDAFQj7YzZ/2ETeFQZNxllFSrsg1lpAGSviKcfBWHWccOVP+9RfLfJX/p
Vfzzkn+ZPn99rf9myedfvVnyYbr/ISuVWdd/WfLpKbHem/T5aMH9Un8VgHtNsq1lwuXo0i2g559L
PjhCRaEtuJTWTQzF4t+oTrV3mRw/1nyCBGzCWQhNXvAPb9f8fhp6vdWtgQS2nn51mzwU/XRtFX2/
TkVwzpQq/oquO3eiSbvVWo3FQ5P8G5r636VQ9hDG6s6sEcoRcPiS8xSBjIUSBjv4Sx1AJBtTMq8Q
cFzrggqmDP+XPAP/ws4ob4Sl9dJp0Y3Zzw8h3Q9EJy0VkVJ3xyLMtolV7rWyyfiLIbUZkXtzqt5w
rdXQKrhaho4AiW7C7W4jDfRn86JNxB39SIRkSfAtbuwLnT67rI/nMGi2hcXkyAR0pYay7OmYO51Y
7y9HFREWbSvTsVR45uCElnmChLrK1aoOF4HOkQdP/ZZCUuaJdqESowdbd4Qdr7XE35jJj6CSDKV+
qd+SEUbYq6D6oK0J+eHAQpKxCwB2Nyux7rZ5aCOHm+8N8Y1C4qrmkNI02d7q28dOnol1jeH46RoJ
f93E/sbsCZUxxum1l4tdr1iepVGvFHJ4Hyg4C5YDd2pTo0WqwCZj3saqBeXQOll6QAWwvi8k4wXJ
7YHQYjQthNtB26saZdf5yZU6IY8MDPPa5gn5kQXTr6i9IU1PtS6uzUh+ScZZduDdME3K5LQJa7jL
VP0ppqmLoB8ofZ/rXtlRYxSjdVBi+1ZK0Q6Zswy4GODxkMeHWfPvyrE+oYo8BDWM3iZNXzkufRl7
6bbUkM2F43UrTE82pcdOir9SOGGXRfaIW5eB5cyLsIssq+/WNN3InRSBjxYXvKbj8P/YO7PeuK11
Tf+Vg76nwWFxAvr0RU2sUaVZlm4IWZZILs7z8Ov7obydyE7idIBz0RfBBoLtxKVSDVz8hvd9Xig7
TCtWvnhDkLb2dV5O306bYgaxwnG7yVEuW9LJQcTa3iQB+FRZ/mRk1qOR1uMyG4dn0fZ8vzQEmWkA
oL1r8qPWJUwrpwe3MtIVLZinJdYeNOw2t5qvnSII9AiNW4ARXoDfgLzj8hJ+AyHG6E5XtstZjT9Z
rpQQ6+toOOzx3PheNrxJE0XewuS2vRCpft1YxdotUqYLaeWuCfMq9j6ZWBd6m98P9WNS7gyuuUf4
EQh2IbOHAXqnqRF3eTmGV2NfuTs/nodRdj14wL3hbLe9gFKvYQRsQ45/pXhDG924SMXKhltT6Mtx
3aRxOd117zWhSTdLtRb4sbjJfIMKCxHOfSRkvhbUlKS3QN6hymRQSLk5152OxDeSud5Y9JSkGtNi
IquSfVQIe52SiobKzHjMO1MS88TlloR8pbOemUDISCJisbpUonQVOO5w4xRUwGRBn4dw+jobPgju
dFYMWzcqtXQLGXA9DSjDMwZKK3IEkajYF4MQgHoiosech4jKPHRMHyghstQGUga1e4XkLKGWT6J2
U8z120SVnxeoqhXqfhFmwUVCJxAL64Z3V/NKeoRaUqfRM7j0DhVQoWXg919qS9znufE5VW348fQb
ch5tlqwTZgnsvQlzmKUJ0eco/S76uWHJ5tYlDpOjSi/Dv9WXw5w0UTbmI0qlglEvkSBG/DbSCRXS
vi/K6ISb6EtVg6VUU/ts0TtZba5CtgsN1hxgNokrU5aqr31RB3kNOOzIh0cTJiGRN7F9l3YgL6fE
aOaBCZMmNEjWfK+nxcOcyO0/b7iYRi49m8KgDvVdPVcKESWDpHRoKSFUSgm/bY4E0BLKNlcZSW+F
C79LXebhKdh+G7K9gNO49ilQlHksnrslEJ/WjRaMmS+yuZ7p5spGp8SZAv9ZGdNjSOmjzDWQNowv
ylwVjYQILKseWXMtskVKsiu0qvKlR8aBulZlLJtmd5HDvLIoXqKJ/jPQ1fR2yKCkZvodCZ3p0i/4
NBLb31DWqyvHx9Nj9Ts7LfyVb7WMgrk7FM2Lq8MRq9OE7xqCVLxCCcTTal+p2kidlATZGg9cTfxh
U7tPelo39jfY1b8VkYGS51cVUZs+13+siOZHfayIyFnG4PJevzg/DkHACSPWVwk8Y1dNMfKd5a4C
gJ91OALjzH/Mi98rIuYjiJlm5i/xme8WnX+wkcbx8/MUBDsP9Ep+C4yNDl6cHysiAYY1I7ZSO5sJ
gRlbkg10JgJlfGINvRRTfcV8+wGLG9dzk3jk1D8oEaviNCSZPg88AJbMNjhiKix4ayOvrizmda5Q
D62PGjUddgbx9lO7NaXymAcBhz6nWHDWpBuc8qh2lqDC3JWtsYeNa7wLFlRW+n1G0S3NKSm2j7bw
E0oWpdmIvnmc8nTL9goymdld0inCp8iUiP+uHqaOtZGOeHwG5HMhJ/eZ0o4kLquvUVG/wVGDC49o
N29jiK/6cJM6A0fYIB77UXmoJoEVbyqZiVgO2azuRWaN40ER8TVWTVYMGQ7oAaAr1jf+ol+/YaYT
/MX6peo0KJe5vpJ6FM2REPoqDSvA7bnxosaf6RvD2iLNg5gVs6+4SZM459tNteIIHcXSjFXk0Vlo
GAgLDSi3VW007rMWCXBX0UD0Sph1IeSHLN6SIDVviJR2drEUaxycTKpUd5Y6OsmGfjfG+tFV2tKK
KpCKQd9cse3XeGFJddXlhvSY9ZYLzhXeKmJJFnUloNGUkkVFxvomLa3P+VThE22J0hCVYNKa1/G6
mW+xUIvTte/6JrL2frzCPoZaoZXqSoJuC3Mr37toRhfcX6OTb6pw19y23ofEU3pDhe8TwSehdKVO
76qEhu9pcfumu7njlWHZLsvYD7Yg3750DR8fCQTzeoNBm1ZiWYywRm2Far0CwWczWfY9SEC+qgy9
dona1svclMmlYwTxWqszC/kDUwWXxaoHU52Yz642PScsX9NBcz0WSiGVqpJc2lMe7HnnuH34ffbs
zIgzfYzUra+S/1WrymyTxIhrQF0GvWwDK0krJftSjAQU5jVjkXom1jHhrg69nfdA1NrKc0NsYwTs
Gl7RWGyxmXvDYjTfIhRXgIVDwmaF4WHmRE6pTinGKbegjnIc8UVNGV5RehNTnLL6ZKaCOqAQ3Zpi
SWOu72fWSmZt8oVrLthXUle3/YT4Yx2SQwtxyHCGjYvKRL4hgxi3jqbpVzkF34pstfrQ+JOKCYeK
olKH20TRAnxQibnIkD/gGSvvR8UNlurkg7SDi72uQ3YTXf2oBOVDks9gQsfFLpsykuhS6DdSteE0
jvJey/JLCaX2aXQxFuhhEGKHcBwWYIiGQVpCfGbrbSXRklD3cue21muYdE84kDd94ITLwVXeetnM
q4zokdycPV6zz4PV255RK/Bi02o+RNwTb8Wujd23nOtUma2sTerckpZxWWrhvgBausiq/MJWxQtS
n4cuUYaVVg2XzVQ5O6eqtrBOburJvStDy1+rDfVM2VZA+cdoETEK9gydeaHMKHYc0lN7DLKVE14H
amUSy4D8ooWdeSAu4JnxG7uqTN9GebiPbf/sGPDwBgDoI10pVwopMsTVUNJECQnA+IS+SIehoBU3
ELuNjr2SaA3UE67YW6iSFgLKIuRu0M817MRUbTNU0uVl3is3jDJ7T8ZxtA8wgjBMCsgNGnuHX4mK
b0SmsaG4hESU98FVikaVAR/mmHa+eCbVp+2an7QpzHAt/cj11LqIrpOgKlaOjpmGE6b1amnREJmD
6xVCY5cqadxIhU44YezRG1rUJn4dGZgMUrF2J5YpVmW+4eaeVrGYdrhmzgzrDqkhj4TOpWujV3XP
6FnYG2oBF4G4+k1om6qXkNSxEoTvbHVrMFeSCWgUJhOS/kj3dGPgqJf8tmHKVav3sNmTjDUjPncg
pwWnlFoy4e4hfl2Z4H63YQdAtJWa5SmSAaxMaWrLoIEHlSaCQVrfflP6/VvqzOXHX5c611H3iqHj
65/o7+YHfq92NIGUDtygcFQxc3B/H/9oKOnY6VDRuCyF0Jn9VuwY4pNKpQ1YAXYxQrwfmQvk3zgO
2kqMbBiSnX8y/nnP9fxdfcfMibgaSh1iHi2LOuAPpBs9wzXBkv5U5WVZ2EclIV0bfZtQ6xSGuZDx
2W11I2ab6zNywXQwbbRx1BCvNARxERqfnNu8VDibB2VnmplxarnRrHq9zg7MOdMbZgz9GYZ5ccyi
Jn9pgqbf62kf3witrw4ilzhlm8F+hW4qtrlw/I0mKzLp7bLJnxjUMJZWOjqFqodA7yZerGv9akoy
8wubfu1NMaLpWq+tqCUOnBy2bGRPqzouEjarXA06W3luuzhXoWpdpmnr3+rUGtdtoSThjSrNOIBk
Y2vltJuK0MdlBAXD4Ii0s0DnCVsVb9miY5dThSsOGACpiFu6q6rSHKbg5KuxLpmsTr2wrEKuUzMq
5Z0iJ5ihZRfbNpFZVgmWuDJGZDEdKZpx2xo70aXNeqIKXdkTg3ryu52mICliJk+oXeWah26GUiB+
gU+RMpRmhjBTK5RyJliMUWYYyAtquQNQbLurfBLXk1Z3EHJnEEYOEQP4P8e/RV75ycTMvINjGXXX
Ewkwm7Eys8mAks7U75S6yZgp3vuF8O+JMG9E//pEuMmzPH3+Y/MzP+r7caDrn2h80GBzzc2BzkyK
fxsHG5/MWXTLhfj9qPi+AXY+OSYnCKABjcPEnH/g9+bH4aggh4S1MUcJh8g/YrAIh5Pqo1Z/luOi
pBesooEhOPY7COqDDB1fKckJ2M3PuoGtfWOiQ1hybrQvlST7T5BbpKZ+vFX8JltKzb33G3xLfhUS
rWDaX5o0ubHT3l2QzrJqm0ZdwBv7QuDBru7KY6xAYqmoxJj0dLTrXQOCTHvq7YGwPZ1k+bQsd2VH
jNAUnY1G2eGjO9XgVbSK1PWW7dqyG6d8YdfONouYMBH0ZNMhNL2VL3NluoytFu1k1F/rRvPoQhym
kciuxhhhY14ot0oYsT3pJFytKNoExAok8nMSjU99gDJTmvK6rjDaVWW9BHJyIN09WWMF98Y8109q
Ic5hNEEv18RhMouLLmsPTu1/Ldz+EOnWkz5a8ZUYkNAFmX/qBUrQQFce+8pc146uPVdjPi762FlN
dXUf6erXwAaPDHymXGL4uBts5SvyQl5I4m7j2DmNSRCuNV6Dr8anaCqeawntv/OR2vYjXvxQL00v
Q3nqD2AJKie9I77pDDP6KbVYsMW2fhyc0mtEnC/cNM2AYmsbh6ll6ZvnWMeyZvbTtu01GJYTIScW
0t3ePPUdQpbG6Za1I6+yVKWfy4ajU0/HvnYA4PrF5yhkjEeellyUTDbLGrdyHDefzQlP+nzaNXX6
ljvVCRRHwBgouHBDEa4yzIN9TVqh1ujb2nerRV0Gt3pSwekJZ1kUw6/eaos1rJ6vWWDfBP7o0XIN
6zRP92Ouk21hKK/cSQ4TiV2WbB74d9ssx4IsOsdZ5zrJKqFsCMqWydEd0lvrmGuzWhsrqcX1tKLD
Cld2W78x8N1Ku/KsDnlB01YBHrb4pLXlushbNrQxMzKAYzdaV3ncIx7FqHlu0AaLwjEPtQQ20ORw
sLMsvWplOG7IdNyIBhbhRH86hihRweI7y3iqToULIkKmM3d3NDw9yA+xKTaJC0QgdqsrEfd7GcIM
DiuYXi7vvfAPDY5tBLuRPb60DPEfQtCQGPHdlK013cK1PndSwcJBOX+lFm55TdWZJp42RJvGUDex
EtLs6/5bHGC1NQnWDokIzdTS3tvZcF9b1Zcmbml58/zKDvC6hvEV2uGdg795CaFkVQz2Uho2isdE
rTYOWGaA9IIXV6xLGwuyMUiAFoNYI63tWQXb01J2dbosGLc1KMoMa4Q+oa/KYXhiRLdW3fGODxo4
slR2Y6QcszL0whj9PqE/OLmWgYQGgLBRkmYUOzSSA2NzJPCsf5oHraxWoQl5XYef3aVYOY0IrnqE
yoEl6rx58HoXA3eR8oHcNzPtZGhnI/SyA3QQKbT0cWYTcVGvwsj9nErg33UVHrsCNtBURu5mSK12
Qc+4dUv1gkHDS92zMgceMA72HEjqroxiPAEu33EjR3Gu0zJSifPZkumjtNu2rl6AGJzl4KxqKW7V
KEiJpGRNG9soCUymjTFXocoiu6Tb3mixemO2/iuJJHw7O6Lc3MBZ1sSGaIE9LJXS3AojvUQq1jEL
hbcS4Tvn/r0MRXvq7exAECwD1JhxVOCQBsDow3K2LZrpalQ9VB9s5bsHVS92vgA53qn2OpYJ59+Q
KSjx8muDmIllNFUgIAJGInLLwGBOrb3wrem2pI0t9ebK19t9VXYIJZAZDO64mib0w1a1NoB1MALp
VjUNMKewsXHN5kAo3sbBBLp0R4UGXZ2tC0gi9fbJiJB097pp7MiYutSycVEEwZU2OUfXYcszYabf
WFO/Vy2yUImiX5KaQy2lRO7OCMyW4cFwaSTKJk7GS9113mhJNxlI99oiN65ylA07g2zZK815bIrL
xnbuhojooNQ0kfakpgsDTE8+x8z0CJbq3mTdHvBb3ydttpPse0KXlq+tousWDJUeVW9mQABKqxUX
4QBjT053saaTM9GxxWH5V2fmVaX4RGSp7qNiVQ9DORz6NCwWdZvaS6Nwlo0WHnSs5+FA3GIfHETT
cIyLcUdeOzm7iJfgedDDxvf04328IiFM2yhT0yPyc9aJGu10M8ZH0qfTik3oV9EZ7QoTCG4I/BTu
NJ21ipAqyoVgFcCtH6pJLnyDFVnDDtdtgFVGqP3bcWDHmkcPudQvczZOIibztMvZ54T1C2ahVUMO
De7xc20Nu0nn/KpI8VlkZnY3jMp9MeS3SaTHdPXGqkgiuJNjf+5iWBWkktxMWYFWupXtVdXICGCB
LbdiBktY7A6GZaphaT58qKf+xBWr0xN9KE/mbTVtj62yVQaTpOpzO/XRH1mXBKGProEc+CZdfCbu
+LJckpGzdJ9vr+sTXud1vmy20dH0CPna5ptwbwZbAnr/LXC/4QJnD9gvCtzn7L+ObVT/1/lLVBf5
Hyvd+eHfK12MZwzS+ZxcnX4LncOHSlejCMb/R/OmGvOc//fOF6aWy2OoZHGf0ZbyqO+VrvgEbIuH
qRpyPWsWT/6DMf+PhlG+SDjNHP4hdH4enfRcB3+ocyvK29qw7OCMG39R64dI/F2kAbqCH76ssymV
EpofRPQlJkhe1I/PkWq56hYJnGpwObssbLnRQCuoNnY6nAaDWR6b1LH2prGDBqEU1MVa45g3OvtN
jAusxE92ZbtEgAV+eWorxSmRbhlWebIsRR3WogalBTJLQzGEJAkrSq8SdRWm6Rq7Pe6OoZy8CoTI
uodH71WhKNekB0rPsAqGuJ11KelyvSKm02/zoPIiJSBhOahycrmyFMvzTVZN4VuKQHBjfDPsOwyA
yUl7N/K7CX9aawWrwXX47vZnhY3zH4l6edUw8aqiEhQoaWtEkoSfjULj2A1xfCRY02LIO0ZXep1t
HfvW0hZ2o1yQGntvxsZt6dY3FRiWIOvuLTTRGINKKtpIHMtKrANRHsHdwEMMYuhIxLAFg3VAJb9w
VCqkLsjR9OHCUNmIT8SOVSZhfVKCAkq4G6t5eSakTW6Jtz62A8RaKx65y6KLED5ibCfRGMTmCXFE
7nrMLQaqLkPtgBvyphkGSm7Dnw7lWBw6pNZDGm8bJQq8NDGrFSnsS7j767KPTmlvGmvfAJ8VhIU3
TdXO5xYTmmXiSQ7YVUBqSjVhJQtQY2T1UK2rkKS1qjmEBhM7ZVStl7FDyj5WRJRwIm6Ggq/qoEVr
IRpGAU62YuG+G4qSZgNgmyZpA2KogkyPsCgE0pz1/7jlBgEnKUMOxp6WNYwv0OONzanEjQAbstqB
dBm9PFFfhdV+pfFxvCqxUvx/Kfm0YWxGV0XmpCttEJEJ7gXxra0pezeWmkdH8EK1uZss5aLR7Lsm
VLwk9C1uFBXbYmc2ZR5RXF51GfI2yTqo8tczQCK1+ngLmMlz+oY60eCNR7K/rdXugSRgUPdEJiGl
eGK0cspVoDlRNezNRL2c+KGdlp1SaqlJaOxulGe91l4VZdjlYjoavrJ17fvBf8qdaQ8dxtmYMlhX
tondDUhyN3zp0Cm2jdMcBOgMUx8vA19qS0OPmRfH7iMyxUcD2RUTJ+3oiixAmn8mh5c4USx/EyNq
cyo3dqjckvZ1J8jzGAJYTmaIi6abc8OjkWl1Bz0sj3fcy0B1dtp9oYS31Nd3SkHaUNZv7KB40+1h
X7rKfhhUVmHS2pfS9RIraRdsJlbYpNqdaEVzLXq55/XNcSFPeK1YBBoJkec5/bluFKS9iyHeEvmk
P+a9Y3+unZw+dxhH/y6dEwYH3yb0bkg0llc+6YdRE67Kb5mETIXDBiRYqZMh1c/ZhV1hRhetmAC5
Je/hhm0xBx1CkyH0sJzzD505CXGaMxFDzEtKrVvrjrhEPyxQQs8Jio1wa77MBFLhFUoO+OmQIunm
daOqoDpLUhiDjjxGjWBGeDw36ZzUKPscbVZBemPsis8WaY588quyZZtvDyQ9OgDATv6c/jhMFMSx
lX8RAf4RCykMl5zLZ2TeqgHpkbUcYy8gUFKiWFiMc8Rkk39piZyUbCodiYTdJ4wSfeqjQTglGWUQ
T+W2k82bXfXnxJwko4GQBVefPOqyxfhqP+WUtHggSb7UyjkEB1VHU2fsA2wikAnKHMnjhrS1lqX+
le578ApwNTLrHjt2euacZDRF7RO+pU1BCGcZ9xudUE6NcE6zzR7MOa0Tiv3NkIzHjBjPptS4wHv5
EITjLuq5RIfh1BH8GcwJoGpiXTdEgpq19TgQEZojK3OIDO0Z1Wg9NZANPrITLocF8aJ8Giho4ica
HVRaBJCKOYl0mDNJG8JJgzmlNJzzSiUZmrBTeQfnLNMgs2+RgO8bw2qWdaQ+cic4lHP+qYI5ALJY
s81l8GDOGamGWm1N6tHZbqS0Aww4Xn0a2kfgg9uKmFWsk49uwcgHnUvhxGdS3rdxylJmzmdN9fhZ
cYjs7qNtCxVvUbb+s0qkK+/1KprIeCUQZy8Ifa3n9Fcp6r0kDrYyrScfCl+HFU403Y0Py5CZ27Sp
5yTZNAov0f29+XPG7AjOTxXSIKA1OrnE0JbE0RK3wKKGgNouIKnWccms1TSDfbUOjy56snzsr3O6
rT7n3DIHYYQ0Z9+qOupCZ87DjZ3qc6aG5I2qzlmdM3P7rCwPNT3OspkTdVmKv+B7TlflnLbbFxbf
lzmBd2T9szDmVN6BMn2lv0f19qN+Ih3Gf/tQn/1JwTzXw7/P99+5GEwadEaKJgMHJKU/liBabGqM
fnzlQkrAZvex+0WY32rhvySx/N1TzJXWh0pq5FtsxS1PoeKJtOxzW5wHefnrl/Fj2f/9ZVizNQVE
KlPSH59DR+XJVDEKzirJfo59Jjx0GG7xvP/6aRi+/uHdYriqY7WydJwwjFk/vpQgl4BU4w7AP4zA
kulcDQxNKe9acTnDMK0aHpz5DY7y76x8xnv/upVYvFbZc/U1yv6sk+DRv3US4pNmzNIe1zENUzP5
dnyfmbNDc9AKWUKdnUv2j52Eo4JiIQDJtqjk50n7907C+OTgQCb+y0RjbVv8wH/QSWjvvcLvF5nJ
Jg4zk2nZJgYsqMLqT72EO5gKoyQjvFAwgq/MebfjTCNa/Hnf072vfpqyqeAjjgorITwBrIf8vqzl
HcBcbD/vC6Rs3iVlZRFQulrzjglgIuum9tvuKaCYZxOFs1eylyq/bakMa3bgxO/rK3qtil1W877Y
cpqmxzDdEMucKbaKzy+Y5G2aJ90dtaPUl0msjjeh5pCprEsZbooi4TYI4Hw7htjTE7O17zOtQ1Qz
Uv3fF5gwhoVhFtO4FBmH2FKpGbnEDDsujbgr0NOW8lExCwZXrkZ1iobWP9uqFjgLJKPRaaJzb5ep
P6XB0oksf+nmOn2Nmi7Zj7dQtOz0wray7jpl+ruuCMIV4ESzbtsqvklGYek86YgHJoYbbo5jEm8L
2XdORBKiJDvjGiVqPi2nJo22SWVPL6muzBNTMdbZclRLk6DP1jUlB68wWmCwTmc0nlnxgdSraFC6
R8CamoYohvmtkFobZmvWhGz22NJ10+wV641pcrfM6fhrY1EFnq0201VddfIJZXp95dq1vZEJcIVF
ApD9Np0zFY26wH+i8G5eZkrQqeugnn1NgZ+35S7UtRaVRKTLxxiy/O3g4g5hsd8y+ukzNUq2qpE1
NpV+4ctdqVVy2Kd2JPpXq3eCV6Ygttc2hg8MNcyh/7kg/WqlpvhUYGHFTlR/Dg2tqM6lQswurpt/
9/7/GYJwi/v1ybWKXoM/O7R44G+HlvVJdTRGGLo6Wztm0+aHQ4sb2QzDwhD/Psj4rnI0WAHy13VY
46qLCfPj+ENnO4gWAHC5sJ33U/CfHFp/ErYgDB0cl8HmkEQg9afbNubrsA7BkZ6wYCP6IVya1fyy
tcx4n0Z8eXFkdpONYg7ksA6qNhunmxbDAnHHwdFopf0ch9nSaIjHUcsnWDKadolNEXu/7DBRLeou
c89p3kz7wGiTaAfUVr81dFsxd1qtVsrCdRnYpr7h7+PRUlmPxHSUN5GNs4y4wympX1ys9P2JiXtl
XhXsNzorS17xV6FXzKI2WbYC34enzjtt93293ZRjsxOJXqPKn9Afr/05LWISNh2fXYbqQZ/TJKqS
PmuZQTJfh4NLjmtZNWtCqKOD2Yzi6PtTwTbQ9d3nts6wiYnSR89tC8ae4Prby1A3n6GZPQEXfZEW
Hj6gYew+LPO1aNJXy801HCBpKb7C3V46mM31Muh32aSamyZW2qceG+ui09UoWvZxqwGJ6BkyYCl5
0JQIaHnc+3AF4N7WRqbvQsUPj0qsY4fRKnwdZcuotihKT8zLwqrjsk5j0jlNB8EcuiVcGthr+HCL
lcUwoO5rn1lSenBal8Bkv7JPo2lOu1gg+ItIx0VUEeLFp62pAka9xuhIYiXIU7CzeFU47qsjaOqd
btomGq5eFAkesAzWUwR8YRyADFKL4bMIhb+K+4lQZMv0cs0FOdqQHh9W/UVsDEwcQoRzbmIOqwo+
Gb68Qj+rQRzfKMxJrjPLyl6lKqp9WkbZg+wEZoGo/JoxGvs2Qv633jIoi359am3IiHmJ6pc/O7l4
8PeTC4kCXnLoje/T9vfC6fvJpRufNA4zXGfIFBBjM9H8LlGwP9GG2YKJ7jyj/6HcQufkGkxcVaIX
wMhiZvsHJ9d8Ln0stlBOzFoHk//xQ9G3/lijMwNSHelXEz3AQ+lAYvp+X/vLhmb+Cb8/g/ONSIb+
AWa7O0sxfjoZp8K3iqEwtHM9KNhJILlEaFq/dt32wwdw+e0n/gLx+YfnmRurD41TDpCirCITnTnu
aa069vbXXz8B9v9fv5Kf+xl0wjrR6dpZH+xFJ+5sZKIwHl0FUVe3ZjC/rLvHgv1ldNkwidSiV0rB
ILjU86smuwlQXDUlwLFgDc6KCSi77hsWXasBKNWvf9P5bvjL9/ynUTncJR8f0fxeMDSd3efFQ9sh
jdXEuWeMC6wN/+GbraDE5/86VrT89S8wey3/8AtggzQtFGWCQv4n0X9GlFDDnnQ8c+KQ56y5VXKM
6RNRkxaiLJauVDOo+Y6zr4Z6Ybb9tYZNhjotD5adqkzoWkqE0gWCsU0TqPveRVbgJelnPTX2va/W
TB8Uqd0NRsoAPnYl2C+nWWRSriur2hWo8sGJb7RmXOEC98Lp3FnROg3wGKGuay0m+SCAUv0SbO7G
B7GONzCob+vAORlNsqhia9UB8dR7gg6ILbcJdx9lsYrN27xA62whF5iQZkSjtmxB1dvqTOzZjuXn
WhIToMA86LOD1ogrKU9ySL0OZuddaiaLwiBbPHdvG2GtGB1xd0deakaBgLZaOivVQf2ax8kjSUGL
NJ0qGCt+vYoD8Texf7Nj5MMnNK/+frjwxU+XCxCXWjZDPZ1Vz9j6u+nYPBies6vO5Jgfmy338bWz
cpfjxiCmb58SfzY8Krt403iqZ52ijfybOPv54vnVMfHTTEIkSWun81eWMS9jsaxfVQiLNqX6rcz+
y+Poz76Z6ofj6KcDD3LSlIRg3c4QupLb4WsZwAdaYqigi/r1RaD9+BZ/O/k+XgQ/N7K8/spg23EO
jaW8ZKjd4teCIl7TDC2DM4LHXz/hj2f5f56PKnQmw9Lbv6tTP5yApC4Ptp0Y+rlHk5VNXzrlb+ZG
f3YAknj22xP89N4B76GHDHT9jFhhNs/04KmG+G9exd89yU+nrDu41jRirj673WEq9411ixrs12/U
n92SPr6On47HkXs1+Vimfta5tocEg4t17Up0VcO31/I/XR2dopcqr/O35n/PP/klL8YqCsLm//z4
x/rbn4PXfPXcPP/wh/V7TN1V+1qN1691m/DQbxfE/Df/X//jf1A7t2Px+t//6/lrGmWrqG6q6KXR
qWZ+CsITvKe/KI/y5PnPxlDzo36rizR8ZhBIEW2riFVmUulvdZH+iUqE9CgBv9d+h5h+r4sc2jYX
wDa9lmqAJv8whkK6adB5URaRGo8SW/yTuoi9+g8H0nxA2qhK6RyRg0JB/7kyEk4KYa/Vx7PTBNWl
Lcf0OtIK+3OeCH0/9nH8CJHM3jjc5049WkHCc7twpZnddG+7fXMTqnnCopLcG3oYf20rTbXOIvhl
DqqoJAndU2do/tE0ka1R0vP4Ds37igIMhVdeDFvFcfeDjj21bsJmqxVG/BL5asa+s/eJsWC0XxX1
8JSGYbDPyzl+SGnkSs9UAvQcp2DTOd67OkkxifE8+qmN6VpzNk2u9IcszqFt5P0ASsX1uQTUc0xy
zqKNYgQvVolDKIInaumzTcdoWDLLCUAZbmVyCbReUM8wh5+m4M2WxWM4BD6BDd0yiou9zFkfDTKL
d/rkYmlnPnwZaMFnNR7BaxjVRhTZlZmX6jpSG8VrrGDC49oae8g09joxkoOmlPUuYtGyossRMLgy
se6gE20tDbRMZAbxvkyLHjdKdzVVCICKBN1Xq2CuVkx6oRiHOtzHC2lwRHUj747SKuF1hDZ0lUYa
hShWttVo98WuDOt9q8sntPoDqIImwxVmybUGQDEMyqlB3soHpvRatUoUaHW+pW2lULjDV8FyMDsv
bWKfhUhbPAPMlqehEa9KnKvzjoKtiQm3sc/AzMjgBlLAFSgHYxEPg6d3yb3+biUXLn70Sk/OXald
5jq5HkENysaIdlBcvUFv8AWVmPELnseyYmaJnQhAHJjF0s7SA+S8V9PM2w3OxpsuZNRV4yabuTaC
8gFkZeBuszT3OsM8ysE9oWnwQq0l3CcJsPD51uXoy80UROd0igDaNSAZCApbTOZ4MsdiVcTKHSGW
BJ0M4mD5zNOm1n9K9eqL0bNPckPnBYiSB7nmDvEqHTPMBsTBNRlYmT6mF2VsAl9kP9C+iFn7rL3L
oCG0HiHjseG0caMdNVSuLfKqJN8XLhFrNo6qY0Cgx+79DPqfPo291/ziOX2tfzx9/38+jGfy2C8O
Y2RG+/y5bKPsj+f4/NDfTmSVZD7OVLwrjvgx0JQ4P9OxWK+T9cepPB+7v5/ICI+YNDGo/36Of18M
EJDKkuzbD3s363y/LV1+q/y4o/1l3Wa8I85/rxBnjZE6xx8QJyiMGez2U09hI0cZBjFW51HBqoL/
v9XoEbLMkTuLCfM5EtSlISBLy6w8Zs3mVQmIiFm9em344jqu2tdcZZQ2DCF5XUhBbW2DEvAY6/pS
6Uj4ybSjk6Fh1bHKd2L4Mv5f9s5rt41lTdu3sjDnLXQOBzPAMFNWlmXLPmnQCp1z7qv/n1KwFWiv
vTYFDH9gaw4Ge8lqksWq+tIbcu0IR/F4ojXJCXyChetZR5UvLZhfn5uhf2UNTJvpxthuQV/HRiWa
/vyQriPUS31JEqwybW3Y/pdy6KZgiMDOxycNvnIYd530aJTgudkf4cdH71xBV9G7MpgjS3yieVx2
P5ygPnbhTdal9l3zaNjV9WHqmoCSnU+tXoAR8E8c8MHOqE9BxZxwk020rDjGbuornImVjy+WA3qC
G+k0VMITSuQ54oizohpnvtwC6a/OfL859rph2kKS1TGoARhwUqqgdJ37qnRUoQPb4DXWHI6OvXE7
PJ1M/WsYtmupcmatUV343ggzLpwl+Tgx8/JyqIZq4vbBqWdYSM5gOReaV0aVrMahukjs+keq9ieg
bU6gBx21ptBjbg6Tclg1RQXfMBcR5YSKkoAi8Kr6heWD/4ZWvaotULp63B1HDaBpZSgYoEcbLdPR
QDanPg62E2qI00aqjzw1mY1eCyII1yBLugidfq3I7hc9Ga48R5ubKejLArMkV9hy+a5cTK2kOAZY
26FGgSZoPDTuLAvMjdVisAcEa2nnwF+9Pv+qqnQGk67/gRQsoICypGE7rwanoz9a2WW4goLlr+us
LMNTfRx78Mb4WGnLtkyDhYNo+azt8ajCbWOZFU0s5hEXUVbnh6mJLHNVoEqioIV73BtjO2sHJZzE
PXJqdG9VRMvG8EJVVGhbMmVzDRgzRcvOVhyb3AL33lRF2lJJG2sS5hYWu7YcThur01eYHRogfIfL
QB+KGQpYPQhXM1qMTY1QRF7Ax/aqK7us5Tm0j2ESxuo5iss4GYT3neFipiOpnyXVvclQ9EWs8HRU
jYVeRidg9Ttale0Uy987CB3HsCu/SnDKwuOyEfiWQYd5ndMy1kxvHiTZuZolX7qmDmZ5W9W4E+Gw
hqYarmW5/sPDPnIilwLTXCH0XukOMq6IRFt9eOsAhqDtgmpF20KQiVT7zsud7+mgXhmGecf7hyed
yUC8APQIiLk3geSZz4yU0TPxE98uZIfyuJxpdnDa+smhnXRf9H64byz5MHTsQz3zg0Uvob3q+V+C
EbOnJC5O6M8Wi6Slwas2knmcxS4WL7438Zyomqt+q80aHWRDp6TXHVS1WVUkt1ImZHL6TliNeeki
jPq1KwFVk7Hzc8YWkQHQZdg0nQay9UOgqHq9LSdln7BvLZPMqzX4yxjhXlr7aoHjXg6FtdDUpZup
1zWGahOuKaSHjDVCxBUdjeB68FA/dCSdLLGAoYHCgdPUP6SmnAEqGqa9S1qSul81D07N4CCfozby
VAdXDQhKRaqKGDyW+We/Q6dHDodhjuOliOjutSbw7G7uWuwvbVEIYy0Hn4D5GETDNMs4lmVnY/Kk
afeJjHRg63pCJpH+SBRgXZ8UaxAuJu+tPUTe7bRP4C6TNEGB1tadLyPc1n5JZfmw7my8ICXHQWsH
ZeVG7o8iX77svPqTkfqf0SSXJ1irztIybCe23mkzs5eOgsZWICpGV0Ay4fomuTWLrTxuLn0/Shdl
V3n+VMqEajkCjVMpbP21XkMWJpOapLItLbH6RMkgBQiVVkm26BsVyc2BGUlF217p4/Mgo3n2n1yE
NMCAeft3ucjxBt29LZkIf/gzE1HFtI9YT5gXRF9+9aI2BF4MNMByNHh/LyEK1gEwBNUiT6HtiMM6
f/UrE6HRThsSvMuH9Mwd1bZxdwc6b6lvAQpwwpoiMcHuy9lZ6enzAeGsF4vylPy87GXzTmkGDV6W
Cqt50ckBYkGigwGAJSTr3jQokCWgHLOa5rTSQwBoXyT51MGHUF8pLtCZE/RR//x6MJ3/5hXFO3rR
O1LxmwwAIjSYfTUSeFMhdDpUmSrE2bPqvCsz+7Ct4emZEQpRlQlhDJ2Qwu1dAwmsGqyel5rfe0YA
a1NDM38ocMdFqBvdJdvHyAGpFBtvgLyUb1spund66Rp30rNMUfUJatkYR3iIL6cDWhGa6tvzEqQX
GmKBh8mqucRiJFjAiNQwRg+ypQsTYxqgBjWxSgCkzAJxuVMDhl/2NG+CC5vsDh8WqI1BeyQVLt8S
5hmJCwuqQPoTdfYJLrbnLp7MoBe1VZYpZy0SURR/61RGw52C7VOGTBsMuasSEYtJm35vR+2st/xV
a43VXKmrJSXqUs/tQ0rlfuKbWYe5YlktXX84zhprvLSgg3CnG4AmLqnPzZVJ4zvEUnNV4FNcn48P
nfAmKTE6iWnw1sDeT9CAAfRRAaYDm178iGT7yGRqi83qUW4F6z5iguu4OKdGJwi7f1ViqFoCkICT
orYo1eBGN+TbGAmTeWfox32uH7qYKbRRflS7HTScYY00/ZmMGl/qggfsh6Nu6I8au8xm9ZjIyGt3
n6pW/lpQI+p6JkRbxisjpkmNRUN0EjTpWRrVS+hgJ9EYHcoZTix9buJnWyMUU/R2yqg6QnILkyKY
fVfMqUvEwmVvoSY5MsBNV6PQoKL6g4TvUTxkiL/aKpYqhPfuVPfti6pBRlRhlo4Ja7lQ8Kt04+Cs
SaXLrkWgTOJrwUdjbgfOxErqW8tnRquY4bmKp6bTJA3SaApeuKK9PpzXTQaKg4GQCQWtK9sFfMAZ
7C406uRZlmWwbvSzxC2KaddDW6rjqL3oB/8Cev4aQcSZndvX0HymvWWU+G9KNHJhNKVoHcLGR34C
98CR0QGucEC52zsZdlKKU22hK6j+Ww7uxjiBa1oAIaGDqOSd+UF7rBvhqjCSZS8bOA6k06Z3P1VV
BgYTv+GxFsazJzh0zdROWnNRnA+2R54UkPFpursoHO2LXlJUc0KQtIGChKvMsIo6I16XcYrPidcw
d5YOo2r8DGDGnwxxTRaVXYYtQjohyDu4vxCAbXXjNOEGrfPjrIhDHGZwWOwq9OfdqksYbrf26uGa
+U8BblCL/r4A/3znb7YR2cVf/Yx4gsMjFEN/jYJ/RjztgJIca0EqXMpsMUB9qr11VLwMIhG1JXLm
wlnqV8RzYP4IEJ/sPDRD/5mwhaG8Hs+ISEThrYjXIvQRlmkJv4wPCJFqMt639mmLAHk1CzXtyjNk
yo9UQoXX40LUx6khtWyetln33cApBXw2V1rnsDYic5prmrLwwuGzLWXFsglRwkuVAMVxM5mHTX7j
qb2Co07NYVjiT95IM01qvlTI7V8MFKFLszTdI18fzHXYWzOzULVpbrXlMUT/BssI1V/0lvKjRjVL
Rn5vlXcpdWwoPNOFulTQN7go9ecW6eN5AfoF2GDHuC3GmqcEsTOJHQxwvMYBmubkzoRZytzuo0Xo
NdJKCVElD4Vakt0EtwoFLJWJEIis07CFeAgj1stHdBO1CG6smyqnrhqiydyk/DffSVcWBd0k5+VH
odVTAuTjVciBR6HkU2o2jTTEfZDhOw0R++kR/anLRJjXqpta6AGZQhkoq1tj0rrhRYaNIYj9T62E
jntpIiEbJAWeHb5CJxGxIbuBhV0+6A/Z0hXmDpcOwkS5L9troxjPsHMeZhriRVph3WSIGaEALvyx
/UPmuWeAHD97LbpHHbVLSxegRBBJRhjJAPoyAwpkUl7q1jKPs+uwiw+ppL/1IbpKAwJLvVBaampn
ESC9ZKTOXS60mBSU3ZE8Qp8pNVkWRIPyiSYEnIKAfkIkRJ1U1J1sVJ4iGbmnTgg/oUjSz+mAd9DV
kYUaq+qr2VbfbLOfZoiIziMPp5bBC3ycXYovmUabJBFCU71terMK7SlcVGEoqa02DVrgUKAsCQIE
RpxUm7O8QuhTtjqmxSOdyby+pnd6i2SpvnA15TZ3I2x9el+0W1QyBJu8I7XahdlrLkrz2I9HbNdl
g6EotCg9odBRwOjnuraWGsdZeswOppqdcRAy+36gYtGj6ocm7mKHHspcCSv8MUwU49Lc5N0OyZSz
n0/zNIoXKDXSN3KJbqXjTJFWiGmnZDFEU3+cuQoyusDMJpiYLb0WWo1v96da665UI8UyLT01I3st
wQBu1DXFpNsdOzyz0uvLnNRnag7WWZSYXy0nOcWfCElZLRxmbtgvI0WZykVwV6X1tRX7RMeevn8W
5mipYkoyzYCKTuowXWRRfqyqCDrhs4NV/DoqvKMatvhKUbHXhP+jxu0KHVgwYp3Dbu/70yRWx0M8
6r/5VXBimHk6MeXOWoeFdaQ6yUlQYwUsaTXOBQM2RlFEJ8mkP+CBqEVBVQnWTRgcqU2AeVb+LVZ6
jH6QPpiYiotWvvG1KatTNYl0OPCZM+vRappiAW7MyhQBeN9DUk1q6iUOunAfzBFCOKOcznS/0mFK
gUZQPo8BQlY1fwfvv594dTzLw2jtjuVdkWr6HCovmSNWQHT1R4wXzYj6F7p4W/tfVVc7rzvwAFrQ
DAh9VfosaktzFRXyvaE4n/QgOAp8nywpTjS2dTGTk+DbaGqfXZfvvXQzyvga6zjgehegHL9hd4/2
sJaeqxLENWjd96bTYNgOhahIbRftXvRy/Gbppurn1q+O5ZZGo0UeinUaZBwrOY/xWu6tQDr0u/gq
MOp0Jtf9oTnYc0zVh0ndq8YUC854aqZdNI8xFJqNsn8Mj0rCewhatFTG997ofgY9TaasCBxbAOuu
98PbMoeDnSk0aexunAnpx2kKnBwlM6yEajtfWB3Cx2Mxng+a1s0Ric2nkeNd9uRAjQqZzM0/OU7S
MgYqD6nhaOAqvjctigRttM5scKcgJSTXvEZVUUA/NkXVBwxCfITWKX3MJrlSjfZotEjsUhX2Xqsv
SihpNDA/BXm5ChEhXWEvSyoz4sViwNwcLOVmVPJjw+PO7kX7LxQuQuUdPOvjui82Y+/NrYDTWQ1A
ATTlWwYbEL4dLg8dLKxIXlk1am4eApEtmwB6GTd3TnWBNwWSKLjSD9ZnCo/jUTfuopqLMtDMDA1X
QcHDJKGGKKNoXTnpK+e0xEJ7qeodhHkQDnZM7WN1pY8CiDThoJ2TBSISgG4g5gLehthZzrPAbxA0
HLI5/F88EG0JeXwcDZZlVV4HkXJpINiH/5dzhXP9N2TK3AleTj2DQ7YGvRCFGwTPKdX+obl2vyyd
csH7+4EbEgpPdnZbueBbnFBpMa7VxpM0Co2ZmxdnxDzIkPyuy/1PNXbaE7wtoORLGZ2x5tYV8yjZ
Km41uu9h6FRTV3JRkQAwqUBzw/Nh8BdO5rQwSmsECkO6nZyyYuraxokPlW+W50EKAwp3tMZbDUB+
5hb3JBBNoAXp5ZCNPiza8DvK5TdGhxgAZNwl4KUleQTfgdteKlgUTYsWKY5RstaI8xOKUz2aYr9t
TWmIDlNTUqpTOuQzb0juIznKpnT9TnuLrL2SvCMZTV5Q8Pk9NnXeHDWfb51ok0tFYvAkE1Qu9K4c
wpEMj+q8tNNjbvPKcY91hF38QDcQDG98ew3DyilOsjjOEAspA1kYeyDLM86ZaRT+I3jnP3m0Durn
93n0pb+p6s37zpH4q5d5tDBoBSBiyDhaAzh4lUcDtkTwTSZTFW5Bz3m0coASrgGTF5ceWkiiqfTU
OSLFVqHJmI7NgEv/p0Ms4z3sSochY1sK3R1mZiTTr/NoVbw4GUt8JqPvwO1E8FG4C+Bte8u6kE5J
01Dy4b6IYrVHf8ReFQNqjDZ6ZMwN7LuMWwY16s8UpWjQKEDGBnEVVd44oTO/suMG6W4XkzBlhefm
PEkkAdNJZmTf3yqDBEBccxokxYp7z7fC46Fu7lBOmnfci1wXsGG5KYtev+FWh/iJJrVWZQiZB0mz
CrlfSUqQ7PGQBzK4UcK5pCFEA+rhyAThZnFDd+KqHko9AHWnbmJucTQDrpk3GQvLdRv47Fz1JfYl
U0D9PrKU1SEztHZhExlqESG0cB754SW+Qvm0F0GkzfvzVBFyqcSXzhQmJiLkaCL4jCIMoffBNYLi
t6PFt4i/5ssBxQ8s+iLMawb3cxln93He9DNZhDj0jI4jEfQCENpop+YxVncWIL8eRSmLKIni3qEv
wqZH/KyNUgJGnc7wZz33RYhNwWXA5SHoGvWxQxQuiMZq3Z/TkZLmjQjU0OvoKtvIsAruuZqe9z5O
NSiSfQuJ8kOVI+kiAj9qn8l0IBcYyQnIx2adSBICm6aKRt6A5/SnkDwCpyFzFTKCR0+FJMOvkNJU
yDsa8g8/5P17IiUZRXJi5voKU9x8kovEJcHZNCOTkXBw7TyEnYIqQGqQREcm4wlksJeDSIKy1L8m
G7noS5382iZBG7Vm6YnUqRBJVD3gj9SJxAptdGeGh6m+TLLmNMts6LYu3zvpWCQSM5kMTSFTI7Qe
lYETrMnf7Kkh0jldJZF3RIqXiGQvJOtztQwPPOeogHm0jiX67R4Zohxm34qwwAozhh7fBOWsR0Te
FNlk14642pJgFop8ppJw5kYnoPzQEEhFqzS/aqR2mVXpsZ9lC93ssaVJggqL2NaZ6yYh2BS5rS23
1zB476qW0S/JbxfkAwRj8uHUxBZx4FORKGciY46c9tImha7lw2I8qdtjl+R6kJ21R7KtkHSrJN/Q
nE+lhmy8JS1XRX7eYG1P72mcqWOJ7USIuqiU4MBoSgTngqZdJnL9NAHHgYJdAuGatlEit/d+1Eez
PtGsuSrqBY3CoSfkdBQSVtg360wqMOcQVYaSGmtf1B3jQwmCHlYwsVOnX0Ju9+aGqFVQG8ZIVtQv
JVR6T1Q0mahtkla/bQz40w1lT6a117DhbkZRD2WiMvK07mxoQmEKaDIrqhEG4jqilIJeraLV5MX1
J+4eoWSdMxHuC8aHaVKvjZR210KD425ctXJk20tfLxEV0Jkjel2RIi1rIa5Dher1ytxOJb2fFC1Q
rxU4giGnFDbG4ERKk6G5dOREqS87p5S0T03fYCFspLF/jYi22p5Gdb7KvFrB3oM+Y6ZHOqJFhjcp
EM5VSu+icrUWNav+UNfTZlFKJfNbyfxkWH0wM9BWQWbXvEGYqaJtaeJVEerXkYQot98i9aDIo3mo
ZWzmKCUF5J/L8FSz77mrb/wQl8HaJkPXxuKeMWpLUiIcBtIOqQIZIeeyLvvpEPXHQ17N+sAJF1Eu
HetpeS65zafEzr63QXc/0knsemZclQI/0cuNeFpp/SH8dEPuYK9b+SaIMkxDXIwJVHR1cfy2JtAQ
L2U1PHEr50gKh2+xr96PisxTPOM+ahOGaMFMGg/VocdiwEAzwisvInTFJ7KP8Ug/6+NPsW8dy5hh
zpw+22DVu/Y1DXkDqTepNUcqMzU5MS1hbWI4JESSdI4ejTrrLGOkXdwcjzg9OwaumqxCvrLSgoYv
khJLTW+523GQslAKxDkN2ARE6c91NBsN76taQiKy9dAFFxGhGxA5HS/OxFF4RGijwwi4F0ZvYCCm
nU1DPOnzbo561VFuC+CZzQzYU6zToEuPm9hKpj3ifA4yHVVSrbym3phOh5FzG10OyKHM4UXG6IgT
QIywuXIbRMGbDudxEEahFPEem/G6KRx/wanDb7hGBRHIIf7jWX1XOc4VF/RCxv45SvwaLJm20sLs
Cv7+UgoQFGs9eV102lnL5N4xsh8BgQ4VD/lEl1HBMDh3+Li4QFCUEr+ucu2JtthQd95ENZjK+lG0
doxBSKsg+mirxbIygm4a6NVpFDRnZCKLVK2/tAnD6ohWDiBENmCj9/NITloSStEvwuV0iWi2P6Wj
lc3MqF2mkqQsTWYn65oFncJGO5VzHFdRAjxsUrpbhYk6VdVfxWkmI8VCEOTKWkgB5QgIt09x6phT
jJSBNHDSPnmKemYqqC5KFZiZOpWT9aii94zTO90rrXAxPNfWuh6c+U3IgCqDuZ/S/eeS44IzutWY
qBwJwz5TYVUBUWCqbGb9DQj/r5pRnFapdTPq2k1vyou8QhM+8q7RnTZnNdg3N8mv5cxeaXp52TEe
0EIJRZEhmsoxUmBltxH6fI2l3jkRhLgmOMfAi5l0LV+murjEsZDnrvf/M7N9ZGgatJR/n3Z/Afvb
lFvybvFnz3m3Yh9AvVRhiKP/9Ehles67Ua5i1MHk1YBx/jjMfcaO6QeOrKik5LrzoLf6on+tHWA/
oZoAecXgVmCA34DF/gQee40pp3stDC3QpWI6rCDQqL+ZbvYybOGyTJuTkT0kwIYepkGBnTzCvX+L
UWOmTPr+a3D78EI05HUdWQUcxaC+vE7vlbhuCxMfPTzaDecq8nHmxMkxHsYVnXWD2rlOG32NUMd4
GSJpx+BKAU5lW963PAshw5Bwf1KwX8E/oTT6M3/QLrQhaznhg4e8fhuFlfa97QvTPuvcom0XoYJw
Zqsj925GUgzyP2Y4HOR5ps6zLm7aKXIx0NaDyk3pFAzOXEjQyrMqvTFivcPXKo9PkWUmh1RyBAEX
mdtr07il3RAjbkWLo8u0U7lVjOiojcPTskZdJskhSPrOmabId0aV36bYQ7uV/NlC+QPTnqUhmRkO
znwKzDCQ1XMXTkI+kqzdAeyRFiWBEN6bxUNx7yN+zxz0RFHz+0ZrL2PFg0mjl+E3K8J1yvGi5liy
8hKYkWEexgEIVjA5mCGpMBwkSbvXwypd6S4gkrQucuGZBHU7lgyk3QWVxzmp0gowkmrThADRs6xT
62pQpOtYBUKUhT4glbr2VItRL3xvDwWVOWK+2H3o4hG1irikWV6Veo2KtWmn/gWGPyT5QFTnTi/D
1ETwllVE1WRSRUBtdKkkkzTGiwK66KEvAcF7cfa2QAPU15P6hy0mKlia8TqHg239eosVQ1l4HuP6
E6ygNyS0yiWj5gkFBUp96YrL2Z9582RpzYGbT4xDfaHN1ZU7/VuahsAg/NrqqEdoAiAPrRqvPVmH
1vz6fRg981EgV9mJq3qH+F3008gr3Ene6cRrK3LmBd6sjKTNEsKZLR97VukeKnxHZlRQ9FjDiQOf
eGKr4/e6z5xFpeIHV9f5wrXH7/hCwo1ysa9wx/5rEZNmqmUxTK0q1GY05Yi3PkkYrlFz6t9lpxBJ
XQBSCJ6DXXZWo0aQUtWlDjltgliE4PMjvZukq5AqKiOuTMCCzrvOO1JdcMsR6LlZCwIoScJqxiE+
6WgULgtPiJtq3pXXZSsi2HHT27JA7C3liI1mOQUptBxe/vkrfn2JsLJIRpsQJrkvkdrQ3vJ4nFHt
MDJzyxO5hd3GRYBhVgnxGV+cOT5jOHwUHtf1zxt9266iw/H623zzmm++TalvIaej3n5SeNo3eM3T
HqlctJWtlZ40zIddslSzpOfJqNyIwe0ZejocjSV2erZkHGWBfS0HVTFpK+kee5YFLLljNTPPZXe8
Mbzie9IFBfCzIv//hn/81K3byrD5GZvEb88yzEc+Z/O3HJ1/6R89B73tD/pHlB2ZXtPPPfHzeQ+k
oT8+J97Alm9uIQVpRHIF7BDTYPAH/HAn4MriPf1aUgRMnEkx8CxuJV7rxRr9bhX+/AHfs5neP+f3
b/5lq9AwHKL+P/78fMBfH986EAN601FwmBA/fMhXH59MhzKMHIPGzMPPPiwC3zoJXFAPAlr2mO8J
vvA/Xgn+5sVSmEIoCDEOxBieP+rrpbAPWANczwWp/f9+J2xZBJncbMdFgHEGbwxkFdqJ4ufdcVBR
WtJxJlD2dRGMj1gEknTyd7Ger7YAlwG/wF1XKLnu4RYQO3fnLSAEs3RmCYTphx9i+etFQP3BArpj
Ph65/+MLcdsxeAtderhg/1FUoPRzEOzCRflxDd4eA65FUkULfOZjnbmHi/C4Q39xZv+dRdD4lhFP
4zO+3gEyn15Uxmh5PAWNPTwMAnK882EQd74J/QTS7MOPCBmv0gP5APFmVEB00su9XARhBbNzUEAi
Evt4wOEPPyzr60VQcRw3TB0Bvj1dBCFeteMiOAeq+J65E36zEwD4Y6qBHddjANq/K0HZPTI6BzAV
6fty9B9+3h0HFb6loTAO3tfjID++sR3uRZ0kQDQqVJEoiZ93AVJnq+Aya6r7GiHfKUH98+AAMwWh
feQEnhaBvOPtnYByPv3JJ/bM/h0H0enc8U6wD+CymLjsPW4EkXy9XgQCpeMgTPqgGvRQXe1ljEBw
a8elELhtsiVh5fD48y5GECj5tY4q2L7GiMeKZoebQTMPLE2he6g8Fctv94NIG/GUMOynq3j/DoWx
e8qEzputMv/Qf9NSUOUDTC9QERLWcXt5HIQWwI43A20lQc2DlPP2SqCARmfb0oy9DQ67bwFaKQZt
fBVf0seft4ugoIajykyC9jVNEMpXu20BbkR4m4rOxO/tp0etWihCU2M/r85eHoOn9GWXC9E6QNfC
MQEhPn7St3U0dwE4GAfwoP4QNvazrcJoavdqmhoJnpFB+rw9QCrGAZKVxA5KbvGzt0ux+/VgHCCF
Ilruj590W9NZdCEV4KR7GiHEiHL364HPh5St+Xg03lURlFKsEWP3vd0JH5Ew0V0hFOJi/rzp3ybQ
skm/menDnu4EZffOgnnARqCjqv8mWooZDL9jArWvx0Hf+ThoRAq6jfQVfhcplANqTUVHP2BPd4IA
xu92JzCMdFBJoJ58qh/e3QnIWVFEITK4r4vwtEV3yRn0A9lQQcg+H4e3OQO4LBWZe8Ywj+3Ifb0e
hQvJzvuBuSspgfO77rPQMIN8AcV6Tw/F0729y36gnkTaiwjx1GV5ux9QI4cmTl9BDCv3M5He/WYQ
unNogAL32x4oiRGOCZ2eFv1+1xS7RwrnQBFTOQtZv+05AzhLoEYYYexruHwHTv3n7VdazDbTBgRj
txdW7Afmcwgfynt7KHauI2jE02MiGipPKfS7Qls+MAAW4l6yr9fjU4Gzy/XIF42WL1vhKYXmo75O
oRUgHQylQN7t6/W4ewpNSsAs/meb4d1IRhwHlD6Io/taRzxldLvshIcprGXQZXizBfBAw9jPxhD7
qcLY142w+4DSPEBl7AFh/xgctpwGtNTIl/YWvSLahTumjZwGhvU6BeNvFkH4t4jmgr2vPWixhXdc
BI1+G5M3nP9+EyHBOUFmBpa8rwXEU3N8lytB3IssgjgQ23MlQAvCNBEOy77eCbvPYmxhCy/2wtNA
asudAOiTZEl93Cl7GyJ2z501ZnMy7qhPjdf3nVfaMECd6DTt6yLoj1fWLofCFAWlosvPaePbcElB
CegNdMPeZkza7ouA6wT6arRWn+rFd60mkVyL/6NRL3729ZJ8ZyL779RSuDDSQdCeLsm39wPpE/Ns
pDf29kzs3l/QD0DriB7K75ELCIZoggX4eEnuabh45xvwz7cD/Sa6TToezw8bX4BI3xZUaL4Cb3Ae
K669PRm751AGeaKKIS23xMMPH/X1UgDqIZRAjtnXo/FOu/nf2Q+03ixGE0/F07ubkmwaO0Tuyn3d
CU9Qk91iJrcjatNPiO/3iYPoN4kBzROAaP+QTe+EmP7xTgDRAd6fQhpG+MMPUfj1cVBBNhFLODN7
ej2+U3X9dxYBhILJiOY3kUKYgxInoMw93p/7eigEY37HEpNONAIBsAOeluJdIqkcmKL+2t/Wm5Bh
33ER8G7V8dAxzN9Bwuk/ovQrXM/29FAI+eEdFwG4nymDakRr7eHnXc4gH/BLEiwhhM/P3h6KnTtw
Ah2vCVmKZ/oYx+ztJWmyWwxwHf/6fvgXwslP7jG+OPHtAzUZtasH1tcj5fZv/8Ezb/f9A17QTR9I
t6/+pXAXfHz2IylV/O//eW02+MAafvHbZxbxwys9/f3TR3z/4q9e7PlzPf/HVXBXbsobf3j4xfD0
RoXZ13//1//G/L/bzVuyrOiHPf838drvnRF/HoY/Px0ly7vnB/1i4soUI78+6r/78GRzm5XPD3rx
cA7Ozg+fNHW97Y0Tznd+9nQTb1q+kur5WS/eO/t99+dncVO9+0q5VLjDPuDhaV1u/sK9fZsmpWDD
7vwSs7v4r5Os3Lr+JE07P38e/zXLSjbP87NerD+J+87PX5TIRW97OMFt54cv47t0i6GdmFnt/OxV
k/zI4tv6+VG/1kVAnXd+/DrJ78pgEz8/6sXjP+LIrtNhy6IL0v/O7/zTXbllzcXEePdHB6m35SIQ
kMGdn320ibbcYYJX8gGPrqq7bWvyEQf0KKv++t/Uu4vvtq3MRxzR480tF/DzOrzYiB9xRI835TbP
SQFz2nndxbPzbNvtLszmd3/8XXqb3QTbbi+hbfIBzy9v7m6fH/Rr3QWNYPeHZ7z35+e8ePZHHNPj
bOuafMQp5dH1XXk3bHnnH3FSTzb5lo0uug87L/jJXbt5nzsiGfkRR/S03HAFPL/LF1/nRxzRs3hz
c7cldxQ9yp2X5Sxukm3JnQD/7vzwi4DUsQput6yM8MHZ+fmXm5uSkiCtt8RSMVL6gBdI/5rcpcHW
F/iIo3qJ8e+EgL0pb7deZGIa9CGfYhbcedtW6SNOrfgQC07ATVDdbHuNjzi+4jX+7JD8IKC0Q/0n
XuGoCaq/Tn8EVb7tc3zEYRav8id3xQ/4FPXmr8mm/LHZljMIR+aP2E+8xjTe/gofc7BT8QplMz6/
3V93qhiY7/4R/uRTsPN3QA9j6+J/yGEOqigYsuZ5EV4szIec5SzebMseBJ5m91UnMdnmsiYkXXZ/
eL1JgyreNFvycNEW3v0FRJtlSxwWjfedH/5HA7pdN+RncnzU5Z7f5q8tI2h/u7/1hptgS4gXU7oP
eDgNomRbX04M5nZ+/J+Fk3dd92+olT+/yReL/hHn9FvzY0umLCg6f7Mm29qyP1Ug3zdrn9Udt/3Z
6160+Bc38d2m/J//BwAA//8=</cx:binary>
              </cx:geoCache>
            </cx:geography>
          </cx:layoutPr>
          <cx:valueColors>
            <cx:minColor>
              <a:schemeClr val="accent1">
                <a:lumMod val="60000"/>
                <a:lumOff val="40000"/>
              </a:schemeClr>
            </cx:minColor>
            <cx:maxColor>
              <a:schemeClr val="accent1">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3.emf"/><Relationship Id="rId10" Type="http://schemas.microsoft.com/office/2014/relationships/chartEx" Target="../charts/chartEx2.xml"/><Relationship Id="rId4" Type="http://schemas.openxmlformats.org/officeDocument/2006/relationships/chart" Target="../charts/chart1.xml"/><Relationship Id="rId9"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1</xdr:colOff>
      <xdr:row>0</xdr:row>
      <xdr:rowOff>0</xdr:rowOff>
    </xdr:from>
    <xdr:to>
      <xdr:col>3</xdr:col>
      <xdr:colOff>1</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1" y="0"/>
          <a:ext cx="1981200" cy="7863840"/>
        </a:xfrm>
        <a:prstGeom prst="rect">
          <a:avLst/>
        </a:prstGeom>
        <a:solidFill>
          <a:schemeClr val="tx2">
            <a:lumMod val="75000"/>
            <a:lumOff val="2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tx2">
            <a:lumMod val="25000"/>
            <a:lumOff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124102</xdr:colOff>
      <xdr:row>5</xdr:row>
      <xdr:rowOff>96894</xdr:rowOff>
    </xdr:from>
    <xdr:to>
      <xdr:col>1</xdr:col>
      <xdr:colOff>1506587</xdr:colOff>
      <xdr:row>8</xdr:row>
      <xdr:rowOff>36163</xdr:rowOff>
    </xdr:to>
    <xdr:sp macro="" textlink="Pivots!H4">
      <xdr:nvSpPr>
        <xdr:cNvPr id="5" name="TextBox 4">
          <a:extLst>
            <a:ext uri="{FF2B5EF4-FFF2-40B4-BE49-F238E27FC236}">
              <a16:creationId xmlns:a16="http://schemas.microsoft.com/office/drawing/2014/main" id="{6048869E-EAC0-1783-D741-342616E1F927}"/>
            </a:ext>
          </a:extLst>
        </xdr:cNvPr>
        <xdr:cNvSpPr txBox="1"/>
      </xdr:nvSpPr>
      <xdr:spPr>
        <a:xfrm>
          <a:off x="124102" y="1006099"/>
          <a:ext cx="1607621" cy="48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F6F11B-E136-486B-8026-DB9D08941110}" type="TxLink">
            <a:rPr lang="en-US"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rPr>
            <a:pPr/>
            <a:t>2,400</a:t>
          </a:fld>
          <a:endParaRPr lang="en-IN" sz="1800" b="1">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ndParaRPr>
        </a:p>
      </xdr:txBody>
    </xdr:sp>
    <xdr:clientData/>
  </xdr:twoCellAnchor>
  <xdr:twoCellAnchor>
    <xdr:from>
      <xdr:col>0</xdr:col>
      <xdr:colOff>124102</xdr:colOff>
      <xdr:row>10</xdr:row>
      <xdr:rowOff>41181</xdr:rowOff>
    </xdr:from>
    <xdr:to>
      <xdr:col>1</xdr:col>
      <xdr:colOff>1506587</xdr:colOff>
      <xdr:row>12</xdr:row>
      <xdr:rowOff>119257</xdr:rowOff>
    </xdr:to>
    <xdr:sp macro="" textlink="Pivots!I4">
      <xdr:nvSpPr>
        <xdr:cNvPr id="7" name="TextBox 6">
          <a:extLst>
            <a:ext uri="{FF2B5EF4-FFF2-40B4-BE49-F238E27FC236}">
              <a16:creationId xmlns:a16="http://schemas.microsoft.com/office/drawing/2014/main" id="{501FEDE0-98D8-4A34-8929-7E562D633DDB}"/>
            </a:ext>
          </a:extLst>
        </xdr:cNvPr>
        <xdr:cNvSpPr txBox="1"/>
      </xdr:nvSpPr>
      <xdr:spPr>
        <a:xfrm>
          <a:off x="124102" y="1859590"/>
          <a:ext cx="1607621" cy="441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5A1740-A7C9-4C23-8F77-7A6548995E7A}" type="TxLink">
            <a:rPr lang="en-US"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rPr>
            <a:pPr marL="0" indent="0"/>
            <a:t>11,997</a:t>
          </a:fld>
          <a:endParaRPr lang="en-IN"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endParaRPr>
        </a:p>
      </xdr:txBody>
    </xdr:sp>
    <xdr:clientData/>
  </xdr:twoCellAnchor>
  <xdr:twoCellAnchor>
    <xdr:from>
      <xdr:col>0</xdr:col>
      <xdr:colOff>124102</xdr:colOff>
      <xdr:row>14</xdr:row>
      <xdr:rowOff>130955</xdr:rowOff>
    </xdr:from>
    <xdr:to>
      <xdr:col>1</xdr:col>
      <xdr:colOff>1506588</xdr:colOff>
      <xdr:row>17</xdr:row>
      <xdr:rowOff>55409</xdr:rowOff>
    </xdr:to>
    <xdr:sp macro="" textlink="Pivots!J4">
      <xdr:nvSpPr>
        <xdr:cNvPr id="8" name="TextBox 7">
          <a:extLst>
            <a:ext uri="{FF2B5EF4-FFF2-40B4-BE49-F238E27FC236}">
              <a16:creationId xmlns:a16="http://schemas.microsoft.com/office/drawing/2014/main" id="{AEA66B03-B1E8-4C7F-900B-560E33B594F4}"/>
            </a:ext>
          </a:extLst>
        </xdr:cNvPr>
        <xdr:cNvSpPr txBox="1"/>
      </xdr:nvSpPr>
      <xdr:spPr>
        <a:xfrm>
          <a:off x="124102" y="2676728"/>
          <a:ext cx="1607622" cy="469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8610A1-3318-499E-A27F-3BD3686E52BB}" type="TxLink">
            <a:rPr lang="en-US"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rPr>
            <a:pPr marL="0" indent="0"/>
            <a:t>$ 649.0k</a:t>
          </a:fld>
          <a:endParaRPr lang="en-IN"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endParaRPr>
        </a:p>
      </xdr:txBody>
    </xdr:sp>
    <xdr:clientData/>
  </xdr:twoCellAnchor>
  <xdr:twoCellAnchor>
    <xdr:from>
      <xdr:col>0</xdr:col>
      <xdr:colOff>124102</xdr:colOff>
      <xdr:row>19</xdr:row>
      <xdr:rowOff>62158</xdr:rowOff>
    </xdr:from>
    <xdr:to>
      <xdr:col>1</xdr:col>
      <xdr:colOff>1506267</xdr:colOff>
      <xdr:row>21</xdr:row>
      <xdr:rowOff>115028</xdr:rowOff>
    </xdr:to>
    <xdr:sp macro="" textlink="Pivots!K4">
      <xdr:nvSpPr>
        <xdr:cNvPr id="9" name="TextBox 8">
          <a:extLst>
            <a:ext uri="{FF2B5EF4-FFF2-40B4-BE49-F238E27FC236}">
              <a16:creationId xmlns:a16="http://schemas.microsoft.com/office/drawing/2014/main" id="{DCF0EA95-B3CA-427F-92F4-6F54EE80639A}"/>
            </a:ext>
          </a:extLst>
        </xdr:cNvPr>
        <xdr:cNvSpPr txBox="1"/>
      </xdr:nvSpPr>
      <xdr:spPr>
        <a:xfrm>
          <a:off x="124102" y="3517135"/>
          <a:ext cx="1607301" cy="41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E50904-ABDD-49FB-97CC-8F0602A709B8}" type="TxLink">
            <a:rPr lang="en-US"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rPr>
            <a:pPr marL="0" indent="0"/>
            <a:t>4.0</a:t>
          </a:fld>
          <a:endParaRPr lang="en-IN"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endParaRPr>
        </a:p>
      </xdr:txBody>
    </xdr:sp>
    <xdr:clientData/>
  </xdr:twoCellAnchor>
  <xdr:twoCellAnchor>
    <xdr:from>
      <xdr:col>0</xdr:col>
      <xdr:colOff>124102</xdr:colOff>
      <xdr:row>23</xdr:row>
      <xdr:rowOff>124836</xdr:rowOff>
    </xdr:from>
    <xdr:to>
      <xdr:col>1</xdr:col>
      <xdr:colOff>1511761</xdr:colOff>
      <xdr:row>26</xdr:row>
      <xdr:rowOff>0</xdr:rowOff>
    </xdr:to>
    <xdr:sp macro="" textlink="Pivots!L4">
      <xdr:nvSpPr>
        <xdr:cNvPr id="10" name="TextBox 9">
          <a:extLst>
            <a:ext uri="{FF2B5EF4-FFF2-40B4-BE49-F238E27FC236}">
              <a16:creationId xmlns:a16="http://schemas.microsoft.com/office/drawing/2014/main" id="{A447647A-31F1-4B7C-A21A-1FDA170C6B6F}"/>
            </a:ext>
          </a:extLst>
        </xdr:cNvPr>
        <xdr:cNvSpPr txBox="1"/>
      </xdr:nvSpPr>
      <xdr:spPr>
        <a:xfrm>
          <a:off x="124102" y="4307177"/>
          <a:ext cx="1612795"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0E1ADE-B494-466C-A239-CDBF5B8B4799}" type="TxLink">
            <a:rPr lang="en-US"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rPr>
            <a:pPr marL="0" indent="0"/>
            <a:t>2.3</a:t>
          </a:fld>
          <a:endParaRPr lang="en-IN" sz="1800" b="1" i="0" u="none" strike="noStrike">
            <a:gradFill>
              <a:gsLst>
                <a:gs pos="2000">
                  <a:schemeClr val="bg1"/>
                </a:gs>
                <a:gs pos="100000">
                  <a:schemeClr val="bg1">
                    <a:lumMod val="65000"/>
                  </a:schemeClr>
                </a:gs>
              </a:gsLst>
              <a:lin ang="5400000" scaled="1"/>
            </a:gradFill>
            <a:effectLst>
              <a:outerShdw blurRad="50800" dist="38100" algn="l" rotWithShape="0">
                <a:prstClr val="black">
                  <a:alpha val="40000"/>
                </a:prstClr>
              </a:outerShdw>
            </a:effectLst>
            <a:latin typeface="+mj-lt"/>
            <a:ea typeface="+mn-ea"/>
            <a:cs typeface="+mn-cs"/>
          </a:endParaRPr>
        </a:p>
      </xdr:txBody>
    </xdr:sp>
    <xdr:clientData/>
  </xdr:twoCellAnchor>
  <xdr:twoCellAnchor>
    <xdr:from>
      <xdr:col>0</xdr:col>
      <xdr:colOff>124102</xdr:colOff>
      <xdr:row>3</xdr:row>
      <xdr:rowOff>83128</xdr:rowOff>
    </xdr:from>
    <xdr:to>
      <xdr:col>1</xdr:col>
      <xdr:colOff>1506587</xdr:colOff>
      <xdr:row>5</xdr:row>
      <xdr:rowOff>55419</xdr:rowOff>
    </xdr:to>
    <xdr:sp macro="" textlink="">
      <xdr:nvSpPr>
        <xdr:cNvPr id="11" name="TextBox 10">
          <a:extLst>
            <a:ext uri="{FF2B5EF4-FFF2-40B4-BE49-F238E27FC236}">
              <a16:creationId xmlns:a16="http://schemas.microsoft.com/office/drawing/2014/main" id="{6516B5BA-6F7C-157B-8448-19F93F49E57F}"/>
            </a:ext>
          </a:extLst>
        </xdr:cNvPr>
        <xdr:cNvSpPr txBox="1"/>
      </xdr:nvSpPr>
      <xdr:spPr>
        <a:xfrm>
          <a:off x="124102" y="628651"/>
          <a:ext cx="1607621"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Orders</a:t>
          </a:r>
        </a:p>
      </xdr:txBody>
    </xdr:sp>
    <xdr:clientData/>
  </xdr:twoCellAnchor>
  <xdr:twoCellAnchor>
    <xdr:from>
      <xdr:col>0</xdr:col>
      <xdr:colOff>124102</xdr:colOff>
      <xdr:row>8</xdr:row>
      <xdr:rowOff>77638</xdr:rowOff>
    </xdr:from>
    <xdr:to>
      <xdr:col>1</xdr:col>
      <xdr:colOff>1506587</xdr:colOff>
      <xdr:row>9</xdr:row>
      <xdr:rowOff>181547</xdr:rowOff>
    </xdr:to>
    <xdr:sp macro="" textlink="">
      <xdr:nvSpPr>
        <xdr:cNvPr id="14" name="TextBox 13">
          <a:extLst>
            <a:ext uri="{FF2B5EF4-FFF2-40B4-BE49-F238E27FC236}">
              <a16:creationId xmlns:a16="http://schemas.microsoft.com/office/drawing/2014/main" id="{4A3BF1D2-65ED-49AA-98FB-FE330DB6BA2C}"/>
            </a:ext>
          </a:extLst>
        </xdr:cNvPr>
        <xdr:cNvSpPr txBox="1"/>
      </xdr:nvSpPr>
      <xdr:spPr>
        <a:xfrm>
          <a:off x="124102" y="1532365"/>
          <a:ext cx="160762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Quantity</a:t>
          </a:r>
        </a:p>
      </xdr:txBody>
    </xdr:sp>
    <xdr:clientData/>
  </xdr:twoCellAnchor>
  <xdr:twoCellAnchor>
    <xdr:from>
      <xdr:col>0</xdr:col>
      <xdr:colOff>124102</xdr:colOff>
      <xdr:row>12</xdr:row>
      <xdr:rowOff>160732</xdr:rowOff>
    </xdr:from>
    <xdr:to>
      <xdr:col>1</xdr:col>
      <xdr:colOff>1506587</xdr:colOff>
      <xdr:row>14</xdr:row>
      <xdr:rowOff>89480</xdr:rowOff>
    </xdr:to>
    <xdr:sp macro="" textlink="">
      <xdr:nvSpPr>
        <xdr:cNvPr id="15" name="TextBox 14">
          <a:extLst>
            <a:ext uri="{FF2B5EF4-FFF2-40B4-BE49-F238E27FC236}">
              <a16:creationId xmlns:a16="http://schemas.microsoft.com/office/drawing/2014/main" id="{91737B6C-69AC-4262-B224-276C1ED1AC0C}"/>
            </a:ext>
          </a:extLst>
        </xdr:cNvPr>
        <xdr:cNvSpPr txBox="1"/>
      </xdr:nvSpPr>
      <xdr:spPr>
        <a:xfrm>
          <a:off x="124102" y="2342823"/>
          <a:ext cx="1607621" cy="29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Amount</a:t>
          </a:r>
        </a:p>
      </xdr:txBody>
    </xdr:sp>
    <xdr:clientData/>
  </xdr:twoCellAnchor>
  <xdr:twoCellAnchor>
    <xdr:from>
      <xdr:col>0</xdr:col>
      <xdr:colOff>124102</xdr:colOff>
      <xdr:row>17</xdr:row>
      <xdr:rowOff>96884</xdr:rowOff>
    </xdr:from>
    <xdr:to>
      <xdr:col>1</xdr:col>
      <xdr:colOff>1506587</xdr:colOff>
      <xdr:row>19</xdr:row>
      <xdr:rowOff>20683</xdr:rowOff>
    </xdr:to>
    <xdr:sp macro="" textlink="">
      <xdr:nvSpPr>
        <xdr:cNvPr id="16" name="TextBox 15">
          <a:extLst>
            <a:ext uri="{FF2B5EF4-FFF2-40B4-BE49-F238E27FC236}">
              <a16:creationId xmlns:a16="http://schemas.microsoft.com/office/drawing/2014/main" id="{A99B82D7-2C87-480C-8A1D-76646B56CCF8}"/>
            </a:ext>
          </a:extLst>
        </xdr:cNvPr>
        <xdr:cNvSpPr txBox="1"/>
      </xdr:nvSpPr>
      <xdr:spPr>
        <a:xfrm>
          <a:off x="124102" y="3188179"/>
          <a:ext cx="1607621"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0</xdr:col>
      <xdr:colOff>124102</xdr:colOff>
      <xdr:row>21</xdr:row>
      <xdr:rowOff>156503</xdr:rowOff>
    </xdr:from>
    <xdr:to>
      <xdr:col>1</xdr:col>
      <xdr:colOff>1513191</xdr:colOff>
      <xdr:row>23</xdr:row>
      <xdr:rowOff>83357</xdr:rowOff>
    </xdr:to>
    <xdr:sp macro="" textlink="">
      <xdr:nvSpPr>
        <xdr:cNvPr id="17" name="TextBox 16">
          <a:extLst>
            <a:ext uri="{FF2B5EF4-FFF2-40B4-BE49-F238E27FC236}">
              <a16:creationId xmlns:a16="http://schemas.microsoft.com/office/drawing/2014/main" id="{0886A736-BD2B-407C-AC33-47A5504FC769}"/>
            </a:ext>
          </a:extLst>
        </xdr:cNvPr>
        <xdr:cNvSpPr txBox="1"/>
      </xdr:nvSpPr>
      <xdr:spPr>
        <a:xfrm>
          <a:off x="124102" y="3975162"/>
          <a:ext cx="1614225" cy="29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Days to Deliver</a:t>
          </a:r>
        </a:p>
      </xdr:txBody>
    </xdr:sp>
    <xdr:clientData/>
  </xdr:twoCellAnchor>
  <xdr:twoCellAnchor>
    <xdr:from>
      <xdr:col>3</xdr:col>
      <xdr:colOff>87086</xdr:colOff>
      <xdr:row>0</xdr:row>
      <xdr:rowOff>121920</xdr:rowOff>
    </xdr:from>
    <xdr:to>
      <xdr:col>9</xdr:col>
      <xdr:colOff>533399</xdr:colOff>
      <xdr:row>15</xdr:row>
      <xdr:rowOff>10886</xdr:rowOff>
    </xdr:to>
    <xdr:graphicFrame macro="">
      <xdr:nvGraphicFramePr>
        <xdr:cNvPr id="18" name="Chart 17">
          <a:extLst>
            <a:ext uri="{FF2B5EF4-FFF2-40B4-BE49-F238E27FC236}">
              <a16:creationId xmlns:a16="http://schemas.microsoft.com/office/drawing/2014/main" id="{40F8F3CA-F7CD-4079-817B-FFBF0B319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21771</xdr:colOff>
      <xdr:row>0</xdr:row>
      <xdr:rowOff>120805</xdr:rowOff>
    </xdr:from>
    <xdr:to>
      <xdr:col>17</xdr:col>
      <xdr:colOff>145911</xdr:colOff>
      <xdr:row>15</xdr:row>
      <xdr:rowOff>0</xdr:rowOff>
    </xdr:to>
    <xdr:sp macro="" textlink="">
      <xdr:nvSpPr>
        <xdr:cNvPr id="27" name="Rectangle 26">
          <a:extLst>
            <a:ext uri="{FF2B5EF4-FFF2-40B4-BE49-F238E27FC236}">
              <a16:creationId xmlns:a16="http://schemas.microsoft.com/office/drawing/2014/main" id="{09344B3D-1EC9-79A5-34B3-37EFC71A0F88}"/>
            </a:ext>
          </a:extLst>
        </xdr:cNvPr>
        <xdr:cNvSpPr/>
      </xdr:nvSpPr>
      <xdr:spPr>
        <a:xfrm>
          <a:off x="5848830" y="120805"/>
          <a:ext cx="4359963" cy="256860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124732</xdr:colOff>
          <xdr:row>3</xdr:row>
          <xdr:rowOff>49659</xdr:rowOff>
        </xdr:from>
        <xdr:to>
          <xdr:col>17</xdr:col>
          <xdr:colOff>20428</xdr:colOff>
          <xdr:row>13</xdr:row>
          <xdr:rowOff>87941</xdr:rowOff>
        </xdr:to>
        <xdr:pic>
          <xdr:nvPicPr>
            <xdr:cNvPr id="26" name="Picture 25">
              <a:extLst>
                <a:ext uri="{FF2B5EF4-FFF2-40B4-BE49-F238E27FC236}">
                  <a16:creationId xmlns:a16="http://schemas.microsoft.com/office/drawing/2014/main" id="{008A31CF-6224-B911-4863-A2A14A719D03}"/>
                </a:ext>
              </a:extLst>
            </xdr:cNvPr>
            <xdr:cNvPicPr>
              <a:picLocks noChangeAspect="1" noChangeArrowheads="1"/>
              <a:extLst>
                <a:ext uri="{84589F7E-364E-4C9E-8A38-B11213B215E9}">
                  <a14:cameraTool cellRange="'Order Mode Analysis'!$I$4:$M$9" spid="_x0000_s1052"/>
                </a:ext>
              </a:extLst>
            </xdr:cNvPicPr>
          </xdr:nvPicPr>
          <xdr:blipFill>
            <a:blip xmlns:r="http://schemas.openxmlformats.org/officeDocument/2006/relationships" r:embed="rId5"/>
            <a:srcRect/>
            <a:stretch>
              <a:fillRect/>
            </a:stretch>
          </xdr:blipFill>
          <xdr:spPr bwMode="auto">
            <a:xfrm>
              <a:off x="5989563" y="589052"/>
              <a:ext cx="4150910" cy="1836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249382</xdr:colOff>
      <xdr:row>0</xdr:row>
      <xdr:rowOff>108857</xdr:rowOff>
    </xdr:from>
    <xdr:to>
      <xdr:col>25</xdr:col>
      <xdr:colOff>108858</xdr:colOff>
      <xdr:row>14</xdr:row>
      <xdr:rowOff>156882</xdr:rowOff>
    </xdr:to>
    <xdr:graphicFrame macro="">
      <xdr:nvGraphicFramePr>
        <xdr:cNvPr id="29" name="Chart 28">
          <a:extLst>
            <a:ext uri="{FF2B5EF4-FFF2-40B4-BE49-F238E27FC236}">
              <a16:creationId xmlns:a16="http://schemas.microsoft.com/office/drawing/2014/main" id="{67C5C2FD-CD4C-451E-A165-C886B9034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89807</xdr:colOff>
      <xdr:row>15</xdr:row>
      <xdr:rowOff>112059</xdr:rowOff>
    </xdr:from>
    <xdr:to>
      <xdr:col>9</xdr:col>
      <xdr:colOff>484909</xdr:colOff>
      <xdr:row>42</xdr:row>
      <xdr:rowOff>84364</xdr:rowOff>
    </xdr:to>
    <xdr:graphicFrame macro="">
      <xdr:nvGraphicFramePr>
        <xdr:cNvPr id="30" name="Chart 29">
          <a:extLst>
            <a:ext uri="{FF2B5EF4-FFF2-40B4-BE49-F238E27FC236}">
              <a16:creationId xmlns:a16="http://schemas.microsoft.com/office/drawing/2014/main" id="{C2336501-F8BA-41D6-A19B-9B17B4728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110836</xdr:colOff>
      <xdr:row>0</xdr:row>
      <xdr:rowOff>83128</xdr:rowOff>
    </xdr:from>
    <xdr:to>
      <xdr:col>2</xdr:col>
      <xdr:colOff>152400</xdr:colOff>
      <xdr:row>3</xdr:row>
      <xdr:rowOff>27709</xdr:rowOff>
    </xdr:to>
    <xdr:sp macro="" textlink="">
      <xdr:nvSpPr>
        <xdr:cNvPr id="12" name="TextBox 11">
          <a:extLst>
            <a:ext uri="{FF2B5EF4-FFF2-40B4-BE49-F238E27FC236}">
              <a16:creationId xmlns:a16="http://schemas.microsoft.com/office/drawing/2014/main" id="{A306665E-8C59-F953-B29F-30B89DFEDDA5}"/>
            </a:ext>
          </a:extLst>
        </xdr:cNvPr>
        <xdr:cNvSpPr txBox="1"/>
      </xdr:nvSpPr>
      <xdr:spPr>
        <a:xfrm>
          <a:off x="110836" y="83128"/>
          <a:ext cx="1801091" cy="484908"/>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xdr:col>
      <xdr:colOff>13855</xdr:colOff>
      <xdr:row>0</xdr:row>
      <xdr:rowOff>41563</xdr:rowOff>
    </xdr:from>
    <xdr:to>
      <xdr:col>2</xdr:col>
      <xdr:colOff>33185</xdr:colOff>
      <xdr:row>3</xdr:row>
      <xdr:rowOff>109572</xdr:rowOff>
    </xdr:to>
    <xdr:pic>
      <xdr:nvPicPr>
        <xdr:cNvPr id="13" name="Picture 12">
          <a:extLst>
            <a:ext uri="{FF2B5EF4-FFF2-40B4-BE49-F238E27FC236}">
              <a16:creationId xmlns:a16="http://schemas.microsoft.com/office/drawing/2014/main" id="{67A73C6B-B214-4428-8FD2-31E368BC8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9382" y="41563"/>
          <a:ext cx="1543330" cy="608336"/>
        </a:xfrm>
        <a:prstGeom prst="rect">
          <a:avLst/>
        </a:prstGeom>
      </xdr:spPr>
    </xdr:pic>
    <xdr:clientData/>
  </xdr:twoCellAnchor>
  <xdr:twoCellAnchor>
    <xdr:from>
      <xdr:col>4</xdr:col>
      <xdr:colOff>477140</xdr:colOff>
      <xdr:row>33</xdr:row>
      <xdr:rowOff>49851</xdr:rowOff>
    </xdr:from>
    <xdr:to>
      <xdr:col>7</xdr:col>
      <xdr:colOff>373296</xdr:colOff>
      <xdr:row>42</xdr:row>
      <xdr:rowOff>42729</xdr:rowOff>
    </xdr:to>
    <xdr:graphicFrame macro="">
      <xdr:nvGraphicFramePr>
        <xdr:cNvPr id="20" name="Chart 19">
          <a:extLst>
            <a:ext uri="{FF2B5EF4-FFF2-40B4-BE49-F238E27FC236}">
              <a16:creationId xmlns:a16="http://schemas.microsoft.com/office/drawing/2014/main" id="{E685F812-F011-4585-B174-0BC75A7AA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568036</xdr:colOff>
      <xdr:row>15</xdr:row>
      <xdr:rowOff>87924</xdr:rowOff>
    </xdr:from>
    <xdr:to>
      <xdr:col>17</xdr:col>
      <xdr:colOff>263236</xdr:colOff>
      <xdr:row>42</xdr:row>
      <xdr:rowOff>78441</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99E565C6-3D66-4571-A3A9-56A6FEAE4B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25836" y="2831124"/>
              <a:ext cx="4572000" cy="49282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170329</xdr:colOff>
      <xdr:row>23</xdr:row>
      <xdr:rowOff>77422</xdr:rowOff>
    </xdr:from>
    <xdr:to>
      <xdr:col>16</xdr:col>
      <xdr:colOff>488984</xdr:colOff>
      <xdr:row>32</xdr:row>
      <xdr:rowOff>146695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5A2AB6F7-417E-4934-B2C6-8F0CA81FE0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085729" y="4283662"/>
              <a:ext cx="928255" cy="17151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360216</xdr:colOff>
      <xdr:row>15</xdr:row>
      <xdr:rowOff>78441</xdr:rowOff>
    </xdr:from>
    <xdr:to>
      <xdr:col>25</xdr:col>
      <xdr:colOff>126999</xdr:colOff>
      <xdr:row>28</xdr:row>
      <xdr:rowOff>148683</xdr:rowOff>
    </xdr:to>
    <xdr:graphicFrame macro="">
      <xdr:nvGraphicFramePr>
        <xdr:cNvPr id="28" name="Chart 27">
          <a:extLst>
            <a:ext uri="{FF2B5EF4-FFF2-40B4-BE49-F238E27FC236}">
              <a16:creationId xmlns:a16="http://schemas.microsoft.com/office/drawing/2014/main" id="{6D11695B-38F1-4679-8611-82C8FCF53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346363</xdr:colOff>
      <xdr:row>29</xdr:row>
      <xdr:rowOff>27878</xdr:rowOff>
    </xdr:from>
    <xdr:to>
      <xdr:col>25</xdr:col>
      <xdr:colOff>136770</xdr:colOff>
      <xdr:row>42</xdr:row>
      <xdr:rowOff>65048</xdr:rowOff>
    </xdr:to>
    <xdr:graphicFrame macro="">
      <xdr:nvGraphicFramePr>
        <xdr:cNvPr id="31" name="Chart 30">
          <a:extLst>
            <a:ext uri="{FF2B5EF4-FFF2-40B4-BE49-F238E27FC236}">
              <a16:creationId xmlns:a16="http://schemas.microsoft.com/office/drawing/2014/main" id="{55F7E118-B5F7-40BF-A6E0-659A421B4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59319</xdr:colOff>
      <xdr:row>26</xdr:row>
      <xdr:rowOff>148060</xdr:rowOff>
    </xdr:from>
    <xdr:to>
      <xdr:col>2</xdr:col>
      <xdr:colOff>132798</xdr:colOff>
      <xdr:row>36</xdr:row>
      <xdr:rowOff>134470</xdr:rowOff>
    </xdr:to>
    <mc:AlternateContent xmlns:mc="http://schemas.openxmlformats.org/markup-compatibility/2006" xmlns:a14="http://schemas.microsoft.com/office/drawing/2010/main">
      <mc:Choice Requires="a14">
        <xdr:graphicFrame macro="">
          <xdr:nvGraphicFramePr>
            <xdr:cNvPr id="32" name="Order Mode">
              <a:extLst>
                <a:ext uri="{FF2B5EF4-FFF2-40B4-BE49-F238E27FC236}">
                  <a16:creationId xmlns:a16="http://schemas.microsoft.com/office/drawing/2014/main" id="{1FE61E64-2D5E-4472-A584-AF4798F43C2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9319" y="4809707"/>
              <a:ext cx="1830561" cy="177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57496</xdr:colOff>
      <xdr:row>37</xdr:row>
      <xdr:rowOff>53789</xdr:rowOff>
    </xdr:from>
    <xdr:to>
      <xdr:col>2</xdr:col>
      <xdr:colOff>130975</xdr:colOff>
      <xdr:row>42</xdr:row>
      <xdr:rowOff>145550</xdr:rowOff>
    </xdr:to>
    <mc:AlternateContent xmlns:mc="http://schemas.openxmlformats.org/markup-compatibility/2006" xmlns:a14="http://schemas.microsoft.com/office/drawing/2010/main">
      <mc:Choice Requires="a14">
        <xdr:graphicFrame macro="">
          <xdr:nvGraphicFramePr>
            <xdr:cNvPr id="33" name="Gender Value">
              <a:extLst>
                <a:ext uri="{FF2B5EF4-FFF2-40B4-BE49-F238E27FC236}">
                  <a16:creationId xmlns:a16="http://schemas.microsoft.com/office/drawing/2014/main" id="{55559B95-60B2-442E-B06F-C9837CE20AA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57496" y="6276632"/>
              <a:ext cx="1833006" cy="14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265416</xdr:colOff>
      <xdr:row>0</xdr:row>
      <xdr:rowOff>143435</xdr:rowOff>
    </xdr:from>
    <xdr:to>
      <xdr:col>16</xdr:col>
      <xdr:colOff>359596</xdr:colOff>
      <xdr:row>2</xdr:row>
      <xdr:rowOff>136988</xdr:rowOff>
    </xdr:to>
    <xdr:sp macro="" textlink="">
      <xdr:nvSpPr>
        <xdr:cNvPr id="34" name="TextBox 33">
          <a:extLst>
            <a:ext uri="{FF2B5EF4-FFF2-40B4-BE49-F238E27FC236}">
              <a16:creationId xmlns:a16="http://schemas.microsoft.com/office/drawing/2014/main" id="{1E5566D4-3BBD-1911-1202-E1389DDF4CEE}"/>
            </a:ext>
          </a:extLst>
        </xdr:cNvPr>
        <xdr:cNvSpPr txBox="1"/>
      </xdr:nvSpPr>
      <xdr:spPr>
        <a:xfrm>
          <a:off x="6146263" y="143435"/>
          <a:ext cx="3751780" cy="35214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rPr>
            <a:t>Customer Purchase Channels by Gender</a:t>
          </a:r>
        </a:p>
      </xdr:txBody>
    </xdr:sp>
    <xdr:clientData/>
  </xdr:twoCellAnchor>
  <xdr:twoCellAnchor>
    <xdr:from>
      <xdr:col>4</xdr:col>
      <xdr:colOff>573742</xdr:colOff>
      <xdr:row>40</xdr:row>
      <xdr:rowOff>143435</xdr:rowOff>
    </xdr:from>
    <xdr:to>
      <xdr:col>7</xdr:col>
      <xdr:colOff>358588</xdr:colOff>
      <xdr:row>41</xdr:row>
      <xdr:rowOff>161365</xdr:rowOff>
    </xdr:to>
    <xdr:sp macro="" textlink="">
      <xdr:nvSpPr>
        <xdr:cNvPr id="19" name="TextBox 18">
          <a:extLst>
            <a:ext uri="{FF2B5EF4-FFF2-40B4-BE49-F238E27FC236}">
              <a16:creationId xmlns:a16="http://schemas.microsoft.com/office/drawing/2014/main" id="{6FF37A73-9ABC-4C94-CC4E-B84DDB4A0C5E}"/>
            </a:ext>
          </a:extLst>
        </xdr:cNvPr>
        <xdr:cNvSpPr txBox="1"/>
      </xdr:nvSpPr>
      <xdr:spPr>
        <a:xfrm>
          <a:off x="2796989" y="7315200"/>
          <a:ext cx="1613646" cy="1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Customer Gender Distribution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l Thakur" refreshedDate="46029.464448032406" createdVersion="8" refreshedVersion="8" minRefreshableVersion="3" recordCount="2400" xr:uid="{D99F2FF1-99B7-47F0-A669-E22E36AE0F43}">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27195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69C8C-8A60-45FF-81B6-E5FFD8769BD2}"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05183-2150-438A-8D72-03ADABA0C01E}"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D86D3-80BD-4296-9866-D02CAF71A0C5}"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0852C-C8BD-44D4-8B96-4BA6B91824B7}" name="pvt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1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1">
    <format dxfId="5">
      <pivotArea dataOnly="0" labelOnly="1" fieldPosition="0">
        <references count="1">
          <reference field="15" count="1">
            <x v="5"/>
          </reference>
        </references>
      </pivotArea>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936CEE-C4CF-42DE-BB65-01EA00877876}"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 ">
  <location ref="J5:K10"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2">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0" format="6" series="1">
      <pivotArea type="data" outline="0" fieldPosition="0">
        <references count="2">
          <reference field="4294967294" count="1" selected="0">
            <x v="0"/>
          </reference>
          <reference field="14" count="1" selected="0">
            <x v="2"/>
          </reference>
        </references>
      </pivotArea>
    </chartFormat>
    <chartFormat chart="10" format="7"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4" count="1" selected="0">
            <x v="0"/>
          </reference>
        </references>
      </pivotArea>
    </chartFormat>
    <chartFormat chart="18" format="2">
      <pivotArea type="data" outline="0" fieldPosition="0">
        <references count="2">
          <reference field="4294967294" count="1" selected="0">
            <x v="0"/>
          </reference>
          <reference field="14" count="1" selected="0">
            <x v="1"/>
          </reference>
        </references>
      </pivotArea>
    </chartFormat>
    <chartFormat chart="18" format="3">
      <pivotArea type="data" outline="0" fieldPosition="0">
        <references count="2">
          <reference field="4294967294" count="1" selected="0">
            <x v="0"/>
          </reference>
          <reference field="14" count="1" selected="0">
            <x v="3"/>
          </reference>
        </references>
      </pivotArea>
    </chartFormat>
    <chartFormat chart="18" format="4">
      <pivotArea type="data" outline="0" fieldPosition="0">
        <references count="2">
          <reference field="4294967294" count="1" selected="0">
            <x v="0"/>
          </reference>
          <reference field="14" count="1" selected="0">
            <x v="2"/>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4" count="1" selected="0">
            <x v="0"/>
          </reference>
        </references>
      </pivotArea>
    </chartFormat>
    <chartFormat chart="25" format="12">
      <pivotArea type="data" outline="0" fieldPosition="0">
        <references count="2">
          <reference field="4294967294" count="1" selected="0">
            <x v="0"/>
          </reference>
          <reference field="14" count="1" selected="0">
            <x v="1"/>
          </reference>
        </references>
      </pivotArea>
    </chartFormat>
    <chartFormat chart="25" format="13">
      <pivotArea type="data" outline="0" fieldPosition="0">
        <references count="2">
          <reference field="4294967294" count="1" selected="0">
            <x v="0"/>
          </reference>
          <reference field="14" count="1" selected="0">
            <x v="2"/>
          </reference>
        </references>
      </pivotArea>
    </chartFormat>
    <chartFormat chart="2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D250F6-752D-4E33-862E-1CB327F1C2B2}"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F27"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2">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0" format="6" series="1">
      <pivotArea type="data" outline="0" fieldPosition="0">
        <references count="2">
          <reference field="4294967294" count="1" selected="0">
            <x v="0"/>
          </reference>
          <reference field="14" count="1" selected="0">
            <x v="2"/>
          </reference>
        </references>
      </pivotArea>
    </chartFormat>
    <chartFormat chart="10" format="7"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F44BAC-3C2D-4325-A50A-5DC8D64E1612}" name="pvtloc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77A0DF-4D17-41F7-BFFE-AB4562685162}"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2A1BCF-6661-4C42-9D30-1B24344C8F95}"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6" format="6" series="1">
      <pivotArea type="data" outline="0" fieldPosition="0">
        <references count="2">
          <reference field="4294967294" count="1" selected="0">
            <x v="0"/>
          </reference>
          <reference field="17" count="1" selected="0">
            <x v="1"/>
          </reference>
        </references>
      </pivotArea>
    </chartFormat>
    <chartFormat chart="6" format="7" series="1">
      <pivotArea type="data" outline="0" fieldPosition="0">
        <references count="2">
          <reference field="4294967294" count="1" selected="0">
            <x v="0"/>
          </reference>
          <reference field="17" count="1" selected="0">
            <x v="2"/>
          </reference>
        </references>
      </pivotArea>
    </chartFormat>
    <chartFormat chart="6" format="8" series="1">
      <pivotArea type="data" outline="0" fieldPosition="0">
        <references count="2">
          <reference field="4294967294" count="1" selected="0">
            <x v="0"/>
          </reference>
          <reference field="17" count="1" selected="0">
            <x v="3"/>
          </reference>
        </references>
      </pivotArea>
    </chartFormat>
    <chartFormat chart="6" format="9" series="1">
      <pivotArea type="data" outline="0" fieldPosition="0">
        <references count="2">
          <reference field="4294967294" count="1" selected="0">
            <x v="0"/>
          </reference>
          <reference field="9" count="1" selected="0">
            <x v="3"/>
          </reference>
        </references>
      </pivotArea>
    </chartFormat>
    <chartFormat chart="6" format="10" series="1">
      <pivotArea type="data" outline="0" fieldPosition="0">
        <references count="2">
          <reference field="4294967294" count="1" selected="0">
            <x v="0"/>
          </reference>
          <reference field="9" count="1" selected="0">
            <x v="4"/>
          </reference>
        </references>
      </pivotArea>
    </chartFormat>
    <chartFormat chart="6" format="11" series="1">
      <pivotArea type="data" outline="0" fieldPosition="0">
        <references count="2">
          <reference field="4294967294" count="1" selected="0">
            <x v="0"/>
          </reference>
          <reference field="9" count="1" selected="0">
            <x v="0"/>
          </reference>
        </references>
      </pivotArea>
    </chartFormat>
    <chartFormat chart="6" format="12" series="1">
      <pivotArea type="data" outline="0" fieldPosition="0">
        <references count="2">
          <reference field="4294967294" count="1" selected="0">
            <x v="0"/>
          </reference>
          <reference field="9" count="1" selected="0">
            <x v="1"/>
          </reference>
        </references>
      </pivotArea>
    </chartFormat>
    <chartFormat chart="6" format="1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C88D930-7054-4F08-BA9E-0D159F5EB57F}" sourceName="Order Mode">
  <pivotTables>
    <pivotTable tabId="14" name="pvtRating"/>
    <pivotTable tabId="5" name="pvtSummary"/>
    <pivotTable tabId="5" name="pvtTrend"/>
    <pivotTable tabId="7" name="pvtQuantity"/>
    <pivotTable tabId="10" name="pvtlocation"/>
    <pivotTable tabId="13" name="pvtDuration"/>
  </pivotTables>
  <data>
    <tabular pivotCacheId="12719575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1990C02-0C42-48CD-AC27-B27ADF58B531}" sourceName="Gender Value">
  <pivotTables>
    <pivotTable tabId="14" name="pvtRating"/>
    <pivotTable tabId="5" name="pvtSummary"/>
    <pivotTable tabId="5" name="pvtTrend"/>
    <pivotTable tabId="7" name="pvtQuantity"/>
    <pivotTable tabId="10" name="pvtlocation"/>
    <pivotTable tabId="13" name="pvtDuration"/>
  </pivotTables>
  <data>
    <tabular pivotCacheId="12719575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5788E04-711D-41E2-9E73-12A978A9B3FD}" cache="Slicer_Order_Mode" caption="Order Mode" style="SlicerStyleLight4" rowHeight="247650"/>
  <slicer name="Gender Value" xr10:uid="{17AADD93-2948-4328-8534-D1ED27245FB3}" cache="Slicer_Gender_Value" caption="Gender" columnCount="2"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85" zoomScaleNormal="85" zoomScalePageLayoutView="78" workbookViewId="0">
      <selection activeCell="N47" sqref="N47"/>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D18"/>
  <sheetViews>
    <sheetView tabSelected="1" workbookViewId="0">
      <selection activeCell="H4" sqref="H4"/>
    </sheetView>
  </sheetViews>
  <sheetFormatPr defaultRowHeight="14.4" x14ac:dyDescent="0.3"/>
  <cols>
    <col min="1" max="1" width="3.6640625" customWidth="1"/>
    <col min="2" max="2" width="52.77734375" customWidth="1"/>
    <col min="3" max="3" width="36.109375" customWidth="1"/>
    <col min="4" max="4" width="56.109375" customWidth="1"/>
  </cols>
  <sheetData>
    <row r="2" spans="2:4" ht="17.399999999999999" customHeight="1" x14ac:dyDescent="0.3">
      <c r="B2" s="11" t="s">
        <v>2503</v>
      </c>
      <c r="C2" s="11" t="s">
        <v>2544</v>
      </c>
      <c r="D2" s="11" t="s">
        <v>2545</v>
      </c>
    </row>
    <row r="3" spans="2:4" ht="19.2" customHeight="1" x14ac:dyDescent="0.3">
      <c r="B3" s="13" t="s">
        <v>2504</v>
      </c>
      <c r="C3" s="13" t="s">
        <v>2546</v>
      </c>
      <c r="D3" s="13" t="s">
        <v>2547</v>
      </c>
    </row>
    <row r="4" spans="2:4" ht="21" customHeight="1" x14ac:dyDescent="0.3">
      <c r="B4" s="12" t="s">
        <v>2505</v>
      </c>
      <c r="C4" s="12" t="s">
        <v>2548</v>
      </c>
      <c r="D4" s="12" t="s">
        <v>2549</v>
      </c>
    </row>
    <row r="5" spans="2:4" ht="21.6" customHeight="1" x14ac:dyDescent="0.3">
      <c r="B5" s="13" t="s">
        <v>2506</v>
      </c>
      <c r="C5" s="13" t="s">
        <v>2550</v>
      </c>
      <c r="D5" s="13" t="s">
        <v>2551</v>
      </c>
    </row>
    <row r="6" spans="2:4" ht="24.6" customHeight="1" x14ac:dyDescent="0.3">
      <c r="B6" s="12" t="s">
        <v>2507</v>
      </c>
      <c r="C6" s="12" t="s">
        <v>2552</v>
      </c>
      <c r="D6" s="12" t="s">
        <v>2553</v>
      </c>
    </row>
    <row r="7" spans="2:4" ht="21.6" customHeight="1" x14ac:dyDescent="0.3">
      <c r="B7" s="13" t="s">
        <v>2508</v>
      </c>
      <c r="C7" s="13" t="s">
        <v>2554</v>
      </c>
      <c r="D7" s="13" t="s">
        <v>2555</v>
      </c>
    </row>
    <row r="10" spans="2:4" x14ac:dyDescent="0.3">
      <c r="B10" s="11" t="s">
        <v>2509</v>
      </c>
      <c r="C10" s="11" t="s">
        <v>2544</v>
      </c>
      <c r="D10" s="11" t="s">
        <v>2545</v>
      </c>
    </row>
    <row r="11" spans="2:4" ht="57.6" x14ac:dyDescent="0.3">
      <c r="B11" s="12" t="s">
        <v>2510</v>
      </c>
      <c r="C11" s="16" t="s">
        <v>2556</v>
      </c>
      <c r="D11" s="12" t="s">
        <v>2571</v>
      </c>
    </row>
    <row r="12" spans="2:4" ht="86.4" x14ac:dyDescent="0.3">
      <c r="B12" s="13" t="s">
        <v>2511</v>
      </c>
      <c r="C12" s="15" t="s">
        <v>2557</v>
      </c>
      <c r="D12" s="13" t="s">
        <v>2570</v>
      </c>
    </row>
    <row r="13" spans="2:4" ht="72" x14ac:dyDescent="0.3">
      <c r="B13" s="12" t="s">
        <v>2512</v>
      </c>
      <c r="C13" s="14" t="s">
        <v>2560</v>
      </c>
      <c r="D13" s="12" t="s">
        <v>2569</v>
      </c>
    </row>
    <row r="14" spans="2:4" ht="100.8" x14ac:dyDescent="0.3">
      <c r="B14" s="13" t="s">
        <v>2513</v>
      </c>
      <c r="C14" s="15" t="s">
        <v>2559</v>
      </c>
      <c r="D14" s="15" t="s">
        <v>2568</v>
      </c>
    </row>
    <row r="15" spans="2:4" ht="43.2" x14ac:dyDescent="0.3">
      <c r="B15" s="12" t="s">
        <v>2514</v>
      </c>
      <c r="C15" s="14" t="s">
        <v>2558</v>
      </c>
      <c r="D15" s="12" t="s">
        <v>2567</v>
      </c>
    </row>
    <row r="16" spans="2:4" ht="57.6" x14ac:dyDescent="0.3">
      <c r="B16" s="13" t="s">
        <v>2515</v>
      </c>
      <c r="C16" s="15" t="s">
        <v>2561</v>
      </c>
      <c r="D16" s="13" t="s">
        <v>2566</v>
      </c>
    </row>
    <row r="17" spans="2:4" ht="72" x14ac:dyDescent="0.3">
      <c r="B17" s="12" t="s">
        <v>2516</v>
      </c>
      <c r="C17" s="14" t="s">
        <v>2562</v>
      </c>
      <c r="D17" s="12" t="s">
        <v>2565</v>
      </c>
    </row>
    <row r="18" spans="2:4" ht="86.4" x14ac:dyDescent="0.3">
      <c r="B18" s="13" t="s">
        <v>2517</v>
      </c>
      <c r="C18" s="15" t="s">
        <v>2563</v>
      </c>
      <c r="D18" s="13" t="s">
        <v>2564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A70B-CA73-4309-854A-E7A5DFEB17FA}">
  <dimension ref="A2:L23"/>
  <sheetViews>
    <sheetView workbookViewId="0">
      <selection activeCell="C4" sqref="C4"/>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0" max="10" width="10.77734375" customWidth="1"/>
  </cols>
  <sheetData>
    <row r="2" spans="1:12" x14ac:dyDescent="0.3">
      <c r="H2" t="s">
        <v>2524</v>
      </c>
    </row>
    <row r="3" spans="1:12" x14ac:dyDescent="0.3">
      <c r="A3" t="s">
        <v>2519</v>
      </c>
      <c r="B3" t="s">
        <v>2520</v>
      </c>
      <c r="C3" t="s">
        <v>2521</v>
      </c>
      <c r="D3" t="s">
        <v>2522</v>
      </c>
      <c r="E3" t="s">
        <v>2523</v>
      </c>
      <c r="H3" t="s">
        <v>2518</v>
      </c>
      <c r="I3" t="s">
        <v>2</v>
      </c>
      <c r="J3" t="s">
        <v>4</v>
      </c>
      <c r="K3" t="s">
        <v>2525</v>
      </c>
      <c r="L3" t="s">
        <v>2526</v>
      </c>
    </row>
    <row r="4" spans="1:12" x14ac:dyDescent="0.3">
      <c r="A4" s="3">
        <v>2400</v>
      </c>
      <c r="B4" s="3">
        <v>11997</v>
      </c>
      <c r="C4" s="3">
        <v>649019.80000000144</v>
      </c>
      <c r="D4" s="3">
        <v>3.9620833333333332</v>
      </c>
      <c r="E4" s="3">
        <v>2.3424999999999998</v>
      </c>
      <c r="H4" t="str">
        <f>TEXT(A4,"#,##")</f>
        <v>2,400</v>
      </c>
      <c r="I4" t="str">
        <f t="shared" ref="I4" si="0">TEXT(B4,"#,##")</f>
        <v>11,997</v>
      </c>
      <c r="J4" t="str">
        <f>TEXT(C4,"$ #,##,.0k")</f>
        <v>$ 649.0k</v>
      </c>
      <c r="K4" t="str">
        <f>TEXT(D4,"0.0")</f>
        <v>4.0</v>
      </c>
      <c r="L4" t="str">
        <f>TEXT(E4,"0.0")</f>
        <v>2.3</v>
      </c>
    </row>
    <row r="7" spans="1:12" x14ac:dyDescent="0.3">
      <c r="A7" t="s">
        <v>2527</v>
      </c>
    </row>
    <row r="9" spans="1:12" x14ac:dyDescent="0.3">
      <c r="A9" s="4" t="s">
        <v>2528</v>
      </c>
      <c r="B9" t="s">
        <v>2520</v>
      </c>
      <c r="C9" t="s">
        <v>2521</v>
      </c>
    </row>
    <row r="10" spans="1:12" x14ac:dyDescent="0.3">
      <c r="A10" s="5">
        <v>1</v>
      </c>
      <c r="B10" s="3">
        <v>546</v>
      </c>
      <c r="C10" s="6">
        <v>32413.300000000003</v>
      </c>
    </row>
    <row r="11" spans="1:12" x14ac:dyDescent="0.3">
      <c r="A11" s="5">
        <v>2</v>
      </c>
      <c r="B11" s="3">
        <v>905</v>
      </c>
      <c r="C11" s="6">
        <v>49562.999999999993</v>
      </c>
    </row>
    <row r="12" spans="1:12" x14ac:dyDescent="0.3">
      <c r="A12" s="5">
        <v>3</v>
      </c>
      <c r="B12" s="3">
        <v>796</v>
      </c>
      <c r="C12" s="6">
        <v>41700.400000000016</v>
      </c>
    </row>
    <row r="13" spans="1:12" x14ac:dyDescent="0.3">
      <c r="A13" s="5">
        <v>4</v>
      </c>
      <c r="B13" s="3">
        <v>913</v>
      </c>
      <c r="C13" s="6">
        <v>46782.599999999984</v>
      </c>
    </row>
    <row r="14" spans="1:12" x14ac:dyDescent="0.3">
      <c r="A14" s="5">
        <v>5</v>
      </c>
      <c r="B14" s="3">
        <v>844</v>
      </c>
      <c r="C14" s="6">
        <v>42676.100000000006</v>
      </c>
    </row>
    <row r="15" spans="1:12" x14ac:dyDescent="0.3">
      <c r="A15" s="5">
        <v>6</v>
      </c>
      <c r="B15" s="3">
        <v>1202</v>
      </c>
      <c r="C15" s="6">
        <v>62910.7</v>
      </c>
    </row>
    <row r="16" spans="1:12" x14ac:dyDescent="0.3">
      <c r="A16" s="5">
        <v>7</v>
      </c>
      <c r="B16" s="3">
        <v>935</v>
      </c>
      <c r="C16" s="6">
        <v>50332.200000000004</v>
      </c>
    </row>
    <row r="17" spans="1:3" x14ac:dyDescent="0.3">
      <c r="A17" s="5">
        <v>8</v>
      </c>
      <c r="B17" s="3">
        <v>1128</v>
      </c>
      <c r="C17" s="6">
        <v>58760.599999999977</v>
      </c>
    </row>
    <row r="18" spans="1:3" x14ac:dyDescent="0.3">
      <c r="A18" s="5">
        <v>9</v>
      </c>
      <c r="B18" s="3">
        <v>1007</v>
      </c>
      <c r="C18" s="6">
        <v>52017.299999999996</v>
      </c>
    </row>
    <row r="19" spans="1:3" x14ac:dyDescent="0.3">
      <c r="A19" s="5">
        <v>10</v>
      </c>
      <c r="B19" s="3">
        <v>1128</v>
      </c>
      <c r="C19" s="6">
        <v>64915.700000000033</v>
      </c>
    </row>
    <row r="20" spans="1:3" x14ac:dyDescent="0.3">
      <c r="A20" s="5">
        <v>11</v>
      </c>
      <c r="B20" s="3">
        <v>861</v>
      </c>
      <c r="C20" s="6">
        <v>45943.80000000001</v>
      </c>
    </row>
    <row r="21" spans="1:3" x14ac:dyDescent="0.3">
      <c r="A21" s="5">
        <v>12</v>
      </c>
      <c r="B21" s="3">
        <v>944</v>
      </c>
      <c r="C21" s="6">
        <v>55077.900000000031</v>
      </c>
    </row>
    <row r="22" spans="1:3" x14ac:dyDescent="0.3">
      <c r="A22" s="5">
        <v>13</v>
      </c>
      <c r="B22" s="3">
        <v>788</v>
      </c>
      <c r="C22" s="6">
        <v>45926.19999999999</v>
      </c>
    </row>
    <row r="23" spans="1:3" x14ac:dyDescent="0.3">
      <c r="A23" s="5" t="s">
        <v>2529</v>
      </c>
      <c r="B23" s="3">
        <v>11997</v>
      </c>
      <c r="C23" s="6">
        <v>649019.79999999993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FC92-5A89-479A-AE07-715C69E3EDEE}">
  <dimension ref="A2:M10"/>
  <sheetViews>
    <sheetView workbookViewId="0">
      <selection activeCell="G13" sqref="G13"/>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7" max="7" width="7.109375" bestFit="1" customWidth="1"/>
    <col min="8" max="8" width="6.109375" bestFit="1" customWidth="1"/>
    <col min="9" max="9" width="10.5546875" customWidth="1"/>
    <col min="10" max="10" width="10.5546875" bestFit="1" customWidth="1"/>
  </cols>
  <sheetData>
    <row r="2" spans="1:13" x14ac:dyDescent="0.3">
      <c r="I2" t="s">
        <v>2535</v>
      </c>
    </row>
    <row r="3" spans="1:13" x14ac:dyDescent="0.3">
      <c r="A3" s="4" t="s">
        <v>2521</v>
      </c>
      <c r="B3" s="4" t="s">
        <v>2530</v>
      </c>
    </row>
    <row r="4" spans="1:13" x14ac:dyDescent="0.3">
      <c r="A4" s="4" t="s">
        <v>2528</v>
      </c>
      <c r="B4" t="s">
        <v>2532</v>
      </c>
      <c r="C4" t="s">
        <v>2533</v>
      </c>
      <c r="D4" t="s">
        <v>2534</v>
      </c>
      <c r="E4" t="s">
        <v>2531</v>
      </c>
      <c r="F4" t="s">
        <v>2529</v>
      </c>
      <c r="I4" s="8"/>
      <c r="J4" s="8" t="str">
        <f t="shared" ref="J4:M9" si="0">B4</f>
        <v>Female</v>
      </c>
      <c r="K4" s="8" t="str">
        <f t="shared" si="0"/>
        <v>Male</v>
      </c>
      <c r="L4" s="8" t="str">
        <f t="shared" si="0"/>
        <v>Other</v>
      </c>
      <c r="M4" s="8" t="str">
        <f t="shared" si="0"/>
        <v>Unknown</v>
      </c>
    </row>
    <row r="5" spans="1:13" x14ac:dyDescent="0.3">
      <c r="A5" s="5" t="s">
        <v>18</v>
      </c>
      <c r="B5" s="7">
        <v>0.18961825201634841</v>
      </c>
      <c r="C5" s="7">
        <v>0.12262322351336576</v>
      </c>
      <c r="D5" s="7">
        <v>1.060537752469185E-2</v>
      </c>
      <c r="E5" s="7">
        <v>3.0599220547662797E-2</v>
      </c>
      <c r="F5" s="7">
        <v>0.35344607360206881</v>
      </c>
      <c r="I5" s="8" t="str">
        <f>A5</f>
        <v>App</v>
      </c>
      <c r="J5" s="9">
        <f t="shared" si="0"/>
        <v>0.18961825201634841</v>
      </c>
      <c r="K5" s="9">
        <f t="shared" si="0"/>
        <v>0.12262322351336576</v>
      </c>
      <c r="L5" s="9">
        <f t="shared" si="0"/>
        <v>1.060537752469185E-2</v>
      </c>
      <c r="M5" s="9">
        <f t="shared" si="0"/>
        <v>3.0599220547662797E-2</v>
      </c>
    </row>
    <row r="6" spans="1:13" x14ac:dyDescent="0.3">
      <c r="A6" s="5" t="s">
        <v>51</v>
      </c>
      <c r="B6" s="7">
        <v>5.0283982091147303E-2</v>
      </c>
      <c r="C6" s="7">
        <v>4.3060781812819873E-2</v>
      </c>
      <c r="D6" s="7">
        <v>1.5320025675641944E-3</v>
      </c>
      <c r="E6" s="7">
        <v>1.7794988689097006E-2</v>
      </c>
      <c r="F6" s="7">
        <v>0.11267175516062837</v>
      </c>
      <c r="I6" s="8" t="str">
        <f>A6</f>
        <v>Instagram</v>
      </c>
      <c r="J6" s="9">
        <f t="shared" si="0"/>
        <v>5.0283982091147303E-2</v>
      </c>
      <c r="K6" s="9">
        <f t="shared" si="0"/>
        <v>4.3060781812819873E-2</v>
      </c>
      <c r="L6" s="9">
        <f t="shared" si="0"/>
        <v>1.5320025675641944E-3</v>
      </c>
      <c r="M6" s="9">
        <f t="shared" si="0"/>
        <v>1.7794988689097006E-2</v>
      </c>
    </row>
    <row r="7" spans="1:13" x14ac:dyDescent="0.3">
      <c r="A7" s="5" t="s">
        <v>70</v>
      </c>
      <c r="B7" s="7">
        <v>6.3496059750411282E-2</v>
      </c>
      <c r="C7" s="7">
        <v>4.6071629863988765E-2</v>
      </c>
      <c r="D7" s="7">
        <v>2.306247051322625E-3</v>
      </c>
      <c r="E7" s="7">
        <v>3.8927934093844286E-3</v>
      </c>
      <c r="F7" s="7">
        <v>0.11576673007510711</v>
      </c>
      <c r="I7" s="8" t="str">
        <f>A7</f>
        <v>Partner App</v>
      </c>
      <c r="J7" s="9">
        <f t="shared" si="0"/>
        <v>6.3496059750411282E-2</v>
      </c>
      <c r="K7" s="9">
        <f t="shared" si="0"/>
        <v>4.6071629863988765E-2</v>
      </c>
      <c r="L7" s="9">
        <f t="shared" si="0"/>
        <v>2.306247051322625E-3</v>
      </c>
      <c r="M7" s="9">
        <f t="shared" si="0"/>
        <v>3.8927934093844286E-3</v>
      </c>
    </row>
    <row r="8" spans="1:13" x14ac:dyDescent="0.3">
      <c r="A8" s="5" t="s">
        <v>40</v>
      </c>
      <c r="B8" s="7">
        <v>9.6337892927149532E-2</v>
      </c>
      <c r="C8" s="7">
        <v>6.7920115842382611E-2</v>
      </c>
      <c r="D8" s="7">
        <v>5.4979832664581261E-3</v>
      </c>
      <c r="E8" s="7">
        <v>1.2933041488102518E-2</v>
      </c>
      <c r="F8" s="7">
        <v>0.1826890335240928</v>
      </c>
      <c r="I8" s="8" t="str">
        <f>A8</f>
        <v>Target.com</v>
      </c>
      <c r="J8" s="9">
        <f t="shared" si="0"/>
        <v>9.6337892927149532E-2</v>
      </c>
      <c r="K8" s="9">
        <f t="shared" si="0"/>
        <v>6.7920115842382611E-2</v>
      </c>
      <c r="L8" s="9">
        <f t="shared" si="0"/>
        <v>5.4979832664581261E-3</v>
      </c>
      <c r="M8" s="9">
        <f t="shared" si="0"/>
        <v>1.2933041488102518E-2</v>
      </c>
    </row>
    <row r="9" spans="1:13" x14ac:dyDescent="0.3">
      <c r="A9" s="5" t="s">
        <v>35</v>
      </c>
      <c r="B9" s="7">
        <v>0.12522098709469262</v>
      </c>
      <c r="C9" s="7">
        <v>9.1492740283116228E-2</v>
      </c>
      <c r="D9" s="7">
        <v>6.3042760790965081E-3</v>
      </c>
      <c r="E9" s="7">
        <v>1.2408404181197551E-2</v>
      </c>
      <c r="F9" s="7">
        <v>0.23542640763810288</v>
      </c>
      <c r="I9" s="8" t="str">
        <f>A9</f>
        <v>Website</v>
      </c>
      <c r="J9" s="9">
        <f t="shared" si="0"/>
        <v>0.12522098709469262</v>
      </c>
      <c r="K9" s="9">
        <f t="shared" si="0"/>
        <v>9.1492740283116228E-2</v>
      </c>
      <c r="L9" s="9">
        <f t="shared" si="0"/>
        <v>6.3042760790965081E-3</v>
      </c>
      <c r="M9" s="9">
        <f t="shared" si="0"/>
        <v>1.2408404181197551E-2</v>
      </c>
    </row>
    <row r="10" spans="1:13" x14ac:dyDescent="0.3">
      <c r="A10" s="5" t="s">
        <v>2529</v>
      </c>
      <c r="B10" s="7">
        <v>0.52495717387974916</v>
      </c>
      <c r="C10" s="7">
        <v>0.3711684913156732</v>
      </c>
      <c r="D10" s="7">
        <v>2.6245886489133303E-2</v>
      </c>
      <c r="E10" s="7">
        <v>7.7628448315444312E-2</v>
      </c>
      <c r="F10" s="7">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AF18-63E6-4BA3-B288-7F64B059EB30}">
  <dimension ref="A2:B12"/>
  <sheetViews>
    <sheetView workbookViewId="0">
      <selection activeCell="B6" sqref="B6"/>
    </sheetView>
  </sheetViews>
  <sheetFormatPr defaultRowHeight="14.4" x14ac:dyDescent="0.3"/>
  <cols>
    <col min="1" max="1" width="12.44140625" bestFit="1" customWidth="1"/>
    <col min="2" max="2" width="12.21875" bestFit="1" customWidth="1"/>
  </cols>
  <sheetData>
    <row r="2" spans="1:2" x14ac:dyDescent="0.3">
      <c r="A2" t="s">
        <v>2536</v>
      </c>
    </row>
    <row r="4" spans="1:2" x14ac:dyDescent="0.3">
      <c r="A4" s="4" t="s">
        <v>2528</v>
      </c>
      <c r="B4" t="s">
        <v>2519</v>
      </c>
    </row>
    <row r="5" spans="1:2" x14ac:dyDescent="0.3">
      <c r="A5" s="5">
        <v>1</v>
      </c>
      <c r="B5" s="3">
        <v>397</v>
      </c>
    </row>
    <row r="6" spans="1:2" x14ac:dyDescent="0.3">
      <c r="A6" s="5">
        <v>2</v>
      </c>
      <c r="B6" s="3">
        <v>540</v>
      </c>
    </row>
    <row r="7" spans="1:2" x14ac:dyDescent="0.3">
      <c r="A7" s="5">
        <v>3</v>
      </c>
      <c r="B7" s="3">
        <v>375</v>
      </c>
    </row>
    <row r="8" spans="1:2" x14ac:dyDescent="0.3">
      <c r="A8" s="5">
        <v>4</v>
      </c>
      <c r="B8" s="3">
        <v>246</v>
      </c>
    </row>
    <row r="9" spans="1:2" x14ac:dyDescent="0.3">
      <c r="A9" s="5">
        <v>5</v>
      </c>
      <c r="B9" s="3">
        <v>195</v>
      </c>
    </row>
    <row r="10" spans="1:2" x14ac:dyDescent="0.3">
      <c r="A10" s="10" t="s">
        <v>2537</v>
      </c>
      <c r="B10" s="3">
        <v>414</v>
      </c>
    </row>
    <row r="11" spans="1:2" x14ac:dyDescent="0.3">
      <c r="A11" s="5" t="s">
        <v>2538</v>
      </c>
      <c r="B11" s="3">
        <v>233</v>
      </c>
    </row>
    <row r="12" spans="1:2" x14ac:dyDescent="0.3">
      <c r="A12" s="5" t="s">
        <v>2529</v>
      </c>
      <c r="B12" s="3">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1EEC-219C-4062-9326-E03565E767D2}">
  <dimension ref="A3:K27"/>
  <sheetViews>
    <sheetView workbookViewId="0">
      <selection activeCell="K8" sqref="K8"/>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0" max="10" width="10.5546875" bestFit="1" customWidth="1"/>
    <col min="11" max="11" width="14.21875" bestFit="1" customWidth="1"/>
    <col min="12" max="12" width="5" bestFit="1" customWidth="1"/>
    <col min="13" max="13" width="5.6640625" bestFit="1" customWidth="1"/>
    <col min="14" max="14" width="8.5546875" bestFit="1" customWidth="1"/>
    <col min="15" max="15" width="10.5546875" bestFit="1" customWidth="1"/>
  </cols>
  <sheetData>
    <row r="3" spans="1:11" x14ac:dyDescent="0.3">
      <c r="A3" t="s">
        <v>2539</v>
      </c>
    </row>
    <row r="5" spans="1:11" x14ac:dyDescent="0.3">
      <c r="A5" s="4" t="s">
        <v>2520</v>
      </c>
      <c r="B5" s="4" t="s">
        <v>2530</v>
      </c>
      <c r="J5" s="4" t="s">
        <v>2540</v>
      </c>
      <c r="K5" t="s">
        <v>2520</v>
      </c>
    </row>
    <row r="6" spans="1:11" x14ac:dyDescent="0.3">
      <c r="A6" s="4" t="s">
        <v>2528</v>
      </c>
      <c r="B6" t="s">
        <v>2532</v>
      </c>
      <c r="C6" t="s">
        <v>2533</v>
      </c>
      <c r="D6" t="s">
        <v>2534</v>
      </c>
      <c r="E6" t="s">
        <v>2531</v>
      </c>
      <c r="F6" t="s">
        <v>2529</v>
      </c>
      <c r="J6" s="5" t="s">
        <v>2532</v>
      </c>
      <c r="K6" s="3">
        <v>6272</v>
      </c>
    </row>
    <row r="7" spans="1:11" x14ac:dyDescent="0.3">
      <c r="A7" s="5" t="s">
        <v>44</v>
      </c>
      <c r="B7" s="3">
        <v>744</v>
      </c>
      <c r="C7" s="3">
        <v>713</v>
      </c>
      <c r="D7" s="3">
        <v>90</v>
      </c>
      <c r="E7" s="3">
        <v>98</v>
      </c>
      <c r="F7" s="3">
        <v>1645</v>
      </c>
      <c r="J7" s="5" t="s">
        <v>2533</v>
      </c>
      <c r="K7" s="3">
        <v>4672</v>
      </c>
    </row>
    <row r="8" spans="1:11" x14ac:dyDescent="0.3">
      <c r="A8" s="5" t="s">
        <v>39</v>
      </c>
      <c r="B8" s="3">
        <v>716</v>
      </c>
      <c r="C8" s="3">
        <v>598</v>
      </c>
      <c r="D8" s="3">
        <v>18</v>
      </c>
      <c r="E8" s="3">
        <v>214</v>
      </c>
      <c r="F8" s="3">
        <v>1546</v>
      </c>
      <c r="J8" s="5" t="s">
        <v>2534</v>
      </c>
      <c r="K8" s="3">
        <v>317</v>
      </c>
    </row>
    <row r="9" spans="1:11" x14ac:dyDescent="0.3">
      <c r="A9" s="5" t="s">
        <v>26</v>
      </c>
      <c r="B9" s="3">
        <v>627</v>
      </c>
      <c r="C9" s="3">
        <v>393</v>
      </c>
      <c r="D9" s="3">
        <v>29</v>
      </c>
      <c r="E9" s="3">
        <v>137</v>
      </c>
      <c r="F9" s="3">
        <v>1186</v>
      </c>
      <c r="J9" s="5" t="s">
        <v>2531</v>
      </c>
      <c r="K9" s="3">
        <v>736</v>
      </c>
    </row>
    <row r="10" spans="1:11" x14ac:dyDescent="0.3">
      <c r="A10" s="5" t="s">
        <v>22</v>
      </c>
      <c r="B10" s="3">
        <v>568</v>
      </c>
      <c r="C10" s="3">
        <v>306</v>
      </c>
      <c r="D10" s="3">
        <v>22</v>
      </c>
      <c r="E10" s="3">
        <v>16</v>
      </c>
      <c r="F10" s="3">
        <v>912</v>
      </c>
      <c r="J10" s="5" t="s">
        <v>2529</v>
      </c>
      <c r="K10" s="3">
        <v>11997</v>
      </c>
    </row>
    <row r="11" spans="1:11" x14ac:dyDescent="0.3">
      <c r="A11" s="5" t="s">
        <v>54</v>
      </c>
      <c r="B11" s="3">
        <v>482</v>
      </c>
      <c r="C11" s="3">
        <v>295</v>
      </c>
      <c r="D11" s="3">
        <v>8</v>
      </c>
      <c r="E11" s="3">
        <v>22</v>
      </c>
      <c r="F11" s="3">
        <v>807</v>
      </c>
    </row>
    <row r="12" spans="1:11" x14ac:dyDescent="0.3">
      <c r="A12" s="5" t="s">
        <v>16</v>
      </c>
      <c r="B12" s="3">
        <v>428</v>
      </c>
      <c r="C12" s="3">
        <v>293</v>
      </c>
      <c r="D12" s="3"/>
      <c r="E12" s="3">
        <v>24</v>
      </c>
      <c r="F12" s="3">
        <v>745</v>
      </c>
    </row>
    <row r="13" spans="1:11" x14ac:dyDescent="0.3">
      <c r="A13" s="5" t="s">
        <v>46</v>
      </c>
      <c r="B13" s="3">
        <v>445</v>
      </c>
      <c r="C13" s="3">
        <v>202</v>
      </c>
      <c r="D13" s="3">
        <v>14</v>
      </c>
      <c r="E13" s="3">
        <v>39</v>
      </c>
      <c r="F13" s="3">
        <v>700</v>
      </c>
    </row>
    <row r="14" spans="1:11" x14ac:dyDescent="0.3">
      <c r="A14" s="5" t="s">
        <v>32</v>
      </c>
      <c r="B14" s="3">
        <v>431</v>
      </c>
      <c r="C14" s="3">
        <v>187</v>
      </c>
      <c r="D14" s="3">
        <v>14</v>
      </c>
      <c r="E14" s="3">
        <v>15</v>
      </c>
      <c r="F14" s="3">
        <v>647</v>
      </c>
    </row>
    <row r="15" spans="1:11" x14ac:dyDescent="0.3">
      <c r="A15" s="5" t="s">
        <v>42</v>
      </c>
      <c r="B15" s="3">
        <v>264</v>
      </c>
      <c r="C15" s="3">
        <v>318</v>
      </c>
      <c r="D15" s="3">
        <v>15</v>
      </c>
      <c r="E15" s="3">
        <v>9</v>
      </c>
      <c r="F15" s="3">
        <v>606</v>
      </c>
    </row>
    <row r="16" spans="1:11" x14ac:dyDescent="0.3">
      <c r="A16" s="5" t="s">
        <v>37</v>
      </c>
      <c r="B16" s="3">
        <v>296</v>
      </c>
      <c r="C16" s="3">
        <v>275</v>
      </c>
      <c r="D16" s="3">
        <v>9</v>
      </c>
      <c r="E16" s="3">
        <v>23</v>
      </c>
      <c r="F16" s="3">
        <v>603</v>
      </c>
    </row>
    <row r="17" spans="1:6" x14ac:dyDescent="0.3">
      <c r="A17" s="5" t="s">
        <v>123</v>
      </c>
      <c r="B17" s="3">
        <v>153</v>
      </c>
      <c r="C17" s="3">
        <v>246</v>
      </c>
      <c r="D17" s="3">
        <v>30</v>
      </c>
      <c r="E17" s="3">
        <v>8</v>
      </c>
      <c r="F17" s="3">
        <v>437</v>
      </c>
    </row>
    <row r="18" spans="1:6" x14ac:dyDescent="0.3">
      <c r="A18" s="5" t="s">
        <v>146</v>
      </c>
      <c r="B18" s="3">
        <v>189</v>
      </c>
      <c r="C18" s="3">
        <v>168</v>
      </c>
      <c r="D18" s="3">
        <v>10</v>
      </c>
      <c r="E18" s="3">
        <v>31</v>
      </c>
      <c r="F18" s="3">
        <v>398</v>
      </c>
    </row>
    <row r="19" spans="1:6" x14ac:dyDescent="0.3">
      <c r="A19" s="5" t="s">
        <v>69</v>
      </c>
      <c r="B19" s="3">
        <v>234</v>
      </c>
      <c r="C19" s="3">
        <v>93</v>
      </c>
      <c r="D19" s="3">
        <v>19</v>
      </c>
      <c r="E19" s="3">
        <v>24</v>
      </c>
      <c r="F19" s="3">
        <v>370</v>
      </c>
    </row>
    <row r="20" spans="1:6" x14ac:dyDescent="0.3">
      <c r="A20" s="5" t="s">
        <v>30</v>
      </c>
      <c r="B20" s="3">
        <v>146</v>
      </c>
      <c r="C20" s="3">
        <v>94</v>
      </c>
      <c r="D20" s="3">
        <v>4</v>
      </c>
      <c r="E20" s="3">
        <v>28</v>
      </c>
      <c r="F20" s="3">
        <v>272</v>
      </c>
    </row>
    <row r="21" spans="1:6" x14ac:dyDescent="0.3">
      <c r="A21" s="5" t="s">
        <v>135</v>
      </c>
      <c r="B21" s="3">
        <v>127</v>
      </c>
      <c r="C21" s="3">
        <v>118</v>
      </c>
      <c r="D21" s="3">
        <v>13</v>
      </c>
      <c r="E21" s="3">
        <v>12</v>
      </c>
      <c r="F21" s="3">
        <v>270</v>
      </c>
    </row>
    <row r="22" spans="1:6" x14ac:dyDescent="0.3">
      <c r="A22" s="5" t="s">
        <v>67</v>
      </c>
      <c r="B22" s="3">
        <v>179</v>
      </c>
      <c r="C22" s="3">
        <v>76</v>
      </c>
      <c r="D22" s="3">
        <v>3</v>
      </c>
      <c r="E22" s="3"/>
      <c r="F22" s="3">
        <v>258</v>
      </c>
    </row>
    <row r="23" spans="1:6" x14ac:dyDescent="0.3">
      <c r="A23" s="5" t="s">
        <v>128</v>
      </c>
      <c r="B23" s="3">
        <v>99</v>
      </c>
      <c r="C23" s="3">
        <v>69</v>
      </c>
      <c r="D23" s="3">
        <v>3</v>
      </c>
      <c r="E23" s="3">
        <v>24</v>
      </c>
      <c r="F23" s="3">
        <v>195</v>
      </c>
    </row>
    <row r="24" spans="1:6" x14ac:dyDescent="0.3">
      <c r="A24" s="5" t="s">
        <v>76</v>
      </c>
      <c r="B24" s="3">
        <v>75</v>
      </c>
      <c r="C24" s="3">
        <v>103</v>
      </c>
      <c r="D24" s="3">
        <v>4</v>
      </c>
      <c r="E24" s="3">
        <v>6</v>
      </c>
      <c r="F24" s="3">
        <v>188</v>
      </c>
    </row>
    <row r="25" spans="1:6" x14ac:dyDescent="0.3">
      <c r="A25" s="5" t="s">
        <v>81</v>
      </c>
      <c r="B25" s="3">
        <v>43</v>
      </c>
      <c r="C25" s="3">
        <v>90</v>
      </c>
      <c r="D25" s="3">
        <v>8</v>
      </c>
      <c r="E25" s="3">
        <v>6</v>
      </c>
      <c r="F25" s="3">
        <v>147</v>
      </c>
    </row>
    <row r="26" spans="1:6" x14ac:dyDescent="0.3">
      <c r="A26" s="5" t="s">
        <v>171</v>
      </c>
      <c r="B26" s="3">
        <v>26</v>
      </c>
      <c r="C26" s="3">
        <v>35</v>
      </c>
      <c r="D26" s="3">
        <v>4</v>
      </c>
      <c r="E26" s="3"/>
      <c r="F26" s="3">
        <v>65</v>
      </c>
    </row>
    <row r="27" spans="1:6" x14ac:dyDescent="0.3">
      <c r="A27" s="5" t="s">
        <v>2529</v>
      </c>
      <c r="B27" s="3">
        <v>6272</v>
      </c>
      <c r="C27" s="3">
        <v>4672</v>
      </c>
      <c r="D27" s="3">
        <v>317</v>
      </c>
      <c r="E27" s="3">
        <v>736</v>
      </c>
      <c r="F27" s="3">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53230-DF01-4BD7-BE7F-C510D4FF3BF5}">
  <dimension ref="A3:Q61"/>
  <sheetViews>
    <sheetView zoomScale="70" zoomScaleNormal="70" workbookViewId="0">
      <selection activeCell="V20" sqref="V20"/>
    </sheetView>
  </sheetViews>
  <sheetFormatPr defaultRowHeight="14.4" x14ac:dyDescent="0.3"/>
  <cols>
    <col min="1" max="1" width="22.77734375" bestFit="1" customWidth="1"/>
    <col min="2" max="2" width="21.21875" bestFit="1" customWidth="1"/>
    <col min="3" max="3" width="14.6640625" bestFit="1" customWidth="1"/>
    <col min="4" max="4" width="13.88671875" bestFit="1" customWidth="1"/>
    <col min="10" max="10" width="17.109375" customWidth="1"/>
    <col min="17" max="17" width="14.109375" customWidth="1"/>
    <col min="18" max="18" width="14.5546875" customWidth="1"/>
  </cols>
  <sheetData>
    <row r="3" spans="1:17" x14ac:dyDescent="0.3">
      <c r="A3" s="4" t="s">
        <v>10</v>
      </c>
      <c r="B3" s="4" t="s">
        <v>11</v>
      </c>
      <c r="C3" t="s">
        <v>2520</v>
      </c>
      <c r="D3" t="s">
        <v>2521</v>
      </c>
      <c r="H3" t="s">
        <v>10</v>
      </c>
      <c r="I3" t="s">
        <v>11</v>
      </c>
      <c r="J3" t="s">
        <v>2520</v>
      </c>
      <c r="N3" t="s">
        <v>10</v>
      </c>
      <c r="O3" t="s">
        <v>11</v>
      </c>
      <c r="Q3" t="s">
        <v>2521</v>
      </c>
    </row>
    <row r="4" spans="1:17" x14ac:dyDescent="0.3">
      <c r="A4" t="s">
        <v>19</v>
      </c>
      <c r="B4" t="s">
        <v>115</v>
      </c>
      <c r="C4" s="3">
        <v>579</v>
      </c>
      <c r="D4" s="3">
        <v>31884.999999999996</v>
      </c>
      <c r="H4" t="s">
        <v>19</v>
      </c>
      <c r="I4" t="s">
        <v>115</v>
      </c>
      <c r="J4">
        <v>579</v>
      </c>
      <c r="N4" t="s">
        <v>19</v>
      </c>
      <c r="O4" t="s">
        <v>115</v>
      </c>
      <c r="Q4">
        <v>31884.999999999996</v>
      </c>
    </row>
    <row r="5" spans="1:17" x14ac:dyDescent="0.3">
      <c r="A5" t="s">
        <v>19</v>
      </c>
      <c r="B5" t="s">
        <v>20</v>
      </c>
      <c r="C5" s="3">
        <v>1</v>
      </c>
      <c r="D5" s="3">
        <v>10.9</v>
      </c>
      <c r="H5" t="s">
        <v>19</v>
      </c>
      <c r="I5" t="s">
        <v>20</v>
      </c>
      <c r="J5">
        <v>1</v>
      </c>
      <c r="N5" t="s">
        <v>19</v>
      </c>
      <c r="O5" t="s">
        <v>20</v>
      </c>
      <c r="Q5">
        <v>10.9</v>
      </c>
    </row>
    <row r="6" spans="1:17" x14ac:dyDescent="0.3">
      <c r="A6" t="s">
        <v>19</v>
      </c>
      <c r="B6" t="s">
        <v>641</v>
      </c>
      <c r="C6" s="3">
        <v>9</v>
      </c>
      <c r="D6" s="3">
        <v>800.3</v>
      </c>
      <c r="H6" t="s">
        <v>19</v>
      </c>
      <c r="I6" t="s">
        <v>641</v>
      </c>
      <c r="J6">
        <v>9</v>
      </c>
      <c r="N6" t="s">
        <v>19</v>
      </c>
      <c r="O6" t="s">
        <v>641</v>
      </c>
      <c r="Q6">
        <v>800.3</v>
      </c>
    </row>
    <row r="7" spans="1:17" x14ac:dyDescent="0.3">
      <c r="A7" t="s">
        <v>19</v>
      </c>
      <c r="B7" t="s">
        <v>967</v>
      </c>
      <c r="C7" s="3">
        <v>35</v>
      </c>
      <c r="D7" s="3">
        <v>1062.5999999999999</v>
      </c>
      <c r="H7" t="s">
        <v>19</v>
      </c>
      <c r="I7" t="s">
        <v>967</v>
      </c>
      <c r="J7">
        <v>35</v>
      </c>
      <c r="N7" t="s">
        <v>19</v>
      </c>
      <c r="O7" t="s">
        <v>967</v>
      </c>
      <c r="Q7">
        <v>1062.5999999999999</v>
      </c>
    </row>
    <row r="8" spans="1:17" x14ac:dyDescent="0.3">
      <c r="A8" t="s">
        <v>19</v>
      </c>
      <c r="B8" t="s">
        <v>84</v>
      </c>
      <c r="C8" s="3">
        <v>12</v>
      </c>
      <c r="D8" s="3">
        <v>326.20000000000005</v>
      </c>
      <c r="H8" t="s">
        <v>19</v>
      </c>
      <c r="I8" t="s">
        <v>84</v>
      </c>
      <c r="J8">
        <v>12</v>
      </c>
      <c r="N8" t="s">
        <v>19</v>
      </c>
      <c r="O8" t="s">
        <v>84</v>
      </c>
      <c r="Q8">
        <v>326.20000000000005</v>
      </c>
    </row>
    <row r="9" spans="1:17" x14ac:dyDescent="0.3">
      <c r="A9" t="s">
        <v>19</v>
      </c>
      <c r="B9" t="s">
        <v>1383</v>
      </c>
      <c r="C9" s="3">
        <v>4</v>
      </c>
      <c r="D9" s="3">
        <v>167.5</v>
      </c>
      <c r="H9" t="s">
        <v>19</v>
      </c>
      <c r="I9" t="s">
        <v>1383</v>
      </c>
      <c r="J9">
        <v>4</v>
      </c>
      <c r="N9" t="s">
        <v>19</v>
      </c>
      <c r="O9" t="s">
        <v>1383</v>
      </c>
      <c r="Q9">
        <v>167.5</v>
      </c>
    </row>
    <row r="10" spans="1:17" x14ac:dyDescent="0.3">
      <c r="A10" t="s">
        <v>19</v>
      </c>
      <c r="B10" t="s">
        <v>24</v>
      </c>
      <c r="C10" s="3">
        <v>341</v>
      </c>
      <c r="D10" s="3">
        <v>16168.7</v>
      </c>
      <c r="H10" t="s">
        <v>19</v>
      </c>
      <c r="I10" t="s">
        <v>24</v>
      </c>
      <c r="J10">
        <v>341</v>
      </c>
      <c r="N10" t="s">
        <v>19</v>
      </c>
      <c r="O10" t="s">
        <v>24</v>
      </c>
      <c r="Q10">
        <v>16168.7</v>
      </c>
    </row>
    <row r="11" spans="1:17" x14ac:dyDescent="0.3">
      <c r="A11" t="s">
        <v>19</v>
      </c>
      <c r="B11" t="s">
        <v>2204</v>
      </c>
      <c r="C11" s="3">
        <v>13</v>
      </c>
      <c r="D11" s="3">
        <v>322.40000000000003</v>
      </c>
      <c r="H11" t="s">
        <v>19</v>
      </c>
      <c r="I11" t="s">
        <v>2204</v>
      </c>
      <c r="J11">
        <v>13</v>
      </c>
      <c r="N11" t="s">
        <v>19</v>
      </c>
      <c r="O11" t="s">
        <v>2204</v>
      </c>
      <c r="Q11">
        <v>322.40000000000003</v>
      </c>
    </row>
    <row r="12" spans="1:17" x14ac:dyDescent="0.3">
      <c r="A12" t="s">
        <v>19</v>
      </c>
      <c r="B12" t="s">
        <v>437</v>
      </c>
      <c r="C12" s="3">
        <v>31</v>
      </c>
      <c r="D12" s="3">
        <v>2092.8000000000002</v>
      </c>
      <c r="H12" t="s">
        <v>19</v>
      </c>
      <c r="I12" t="s">
        <v>437</v>
      </c>
      <c r="J12">
        <v>31</v>
      </c>
      <c r="N12" t="s">
        <v>19</v>
      </c>
      <c r="O12" t="s">
        <v>437</v>
      </c>
      <c r="Q12">
        <v>2092.8000000000002</v>
      </c>
    </row>
    <row r="13" spans="1:17" x14ac:dyDescent="0.3">
      <c r="A13" t="s">
        <v>19</v>
      </c>
      <c r="B13" t="s">
        <v>28</v>
      </c>
      <c r="C13" s="3">
        <v>279</v>
      </c>
      <c r="D13" s="3">
        <v>12662.500000000002</v>
      </c>
      <c r="H13" t="s">
        <v>19</v>
      </c>
      <c r="I13" t="s">
        <v>28</v>
      </c>
      <c r="J13">
        <v>279</v>
      </c>
      <c r="N13" t="s">
        <v>19</v>
      </c>
      <c r="O13" t="s">
        <v>28</v>
      </c>
      <c r="Q13">
        <v>12662.500000000002</v>
      </c>
    </row>
    <row r="14" spans="1:17" x14ac:dyDescent="0.3">
      <c r="A14" t="s">
        <v>19</v>
      </c>
      <c r="B14" t="s">
        <v>208</v>
      </c>
      <c r="C14" s="3">
        <v>9</v>
      </c>
      <c r="D14" s="3">
        <v>343.2</v>
      </c>
      <c r="H14" t="s">
        <v>19</v>
      </c>
      <c r="I14" t="s">
        <v>208</v>
      </c>
      <c r="J14">
        <v>9</v>
      </c>
      <c r="N14" t="s">
        <v>19</v>
      </c>
      <c r="O14" t="s">
        <v>208</v>
      </c>
      <c r="Q14">
        <v>343.2</v>
      </c>
    </row>
    <row r="15" spans="1:17" x14ac:dyDescent="0.3">
      <c r="A15" t="s">
        <v>19</v>
      </c>
      <c r="B15" t="s">
        <v>587</v>
      </c>
      <c r="C15" s="3">
        <v>49</v>
      </c>
      <c r="D15" s="3">
        <v>2188.2999999999997</v>
      </c>
      <c r="H15" t="s">
        <v>19</v>
      </c>
      <c r="I15" t="s">
        <v>587</v>
      </c>
      <c r="J15">
        <v>49</v>
      </c>
      <c r="N15" t="s">
        <v>19</v>
      </c>
      <c r="O15" t="s">
        <v>587</v>
      </c>
      <c r="Q15">
        <v>2188.2999999999997</v>
      </c>
    </row>
    <row r="16" spans="1:17" x14ac:dyDescent="0.3">
      <c r="A16" t="s">
        <v>19</v>
      </c>
      <c r="B16" t="s">
        <v>331</v>
      </c>
      <c r="C16" s="3">
        <v>59</v>
      </c>
      <c r="D16" s="3">
        <v>2661.5999999999995</v>
      </c>
      <c r="H16" t="s">
        <v>19</v>
      </c>
      <c r="I16" t="s">
        <v>331</v>
      </c>
      <c r="J16">
        <v>59</v>
      </c>
      <c r="N16" t="s">
        <v>19</v>
      </c>
      <c r="O16" t="s">
        <v>331</v>
      </c>
      <c r="Q16">
        <v>2661.5999999999995</v>
      </c>
    </row>
    <row r="17" spans="1:17" x14ac:dyDescent="0.3">
      <c r="A17" t="s">
        <v>19</v>
      </c>
      <c r="B17" t="s">
        <v>86</v>
      </c>
      <c r="C17" s="3">
        <v>8</v>
      </c>
      <c r="D17" s="3">
        <v>887.5</v>
      </c>
      <c r="H17" t="s">
        <v>19</v>
      </c>
      <c r="I17" t="s">
        <v>86</v>
      </c>
      <c r="J17">
        <v>8</v>
      </c>
      <c r="N17" t="s">
        <v>19</v>
      </c>
      <c r="O17" t="s">
        <v>86</v>
      </c>
      <c r="Q17">
        <v>887.5</v>
      </c>
    </row>
    <row r="18" spans="1:17" x14ac:dyDescent="0.3">
      <c r="A18" t="s">
        <v>19</v>
      </c>
      <c r="B18" t="s">
        <v>147</v>
      </c>
      <c r="C18" s="3">
        <v>222</v>
      </c>
      <c r="D18" s="3">
        <v>11354.199999999993</v>
      </c>
      <c r="H18" t="s">
        <v>19</v>
      </c>
      <c r="I18" t="s">
        <v>147</v>
      </c>
      <c r="J18">
        <v>222</v>
      </c>
      <c r="N18" t="s">
        <v>19</v>
      </c>
      <c r="O18" t="s">
        <v>147</v>
      </c>
      <c r="Q18">
        <v>11354.199999999993</v>
      </c>
    </row>
    <row r="19" spans="1:17" x14ac:dyDescent="0.3">
      <c r="A19" t="s">
        <v>19</v>
      </c>
      <c r="B19" t="s">
        <v>334</v>
      </c>
      <c r="C19" s="3">
        <v>36</v>
      </c>
      <c r="D19" s="3">
        <v>1558.4</v>
      </c>
      <c r="H19" t="s">
        <v>19</v>
      </c>
      <c r="I19" t="s">
        <v>334</v>
      </c>
      <c r="J19">
        <v>36</v>
      </c>
      <c r="N19" t="s">
        <v>19</v>
      </c>
      <c r="O19" t="s">
        <v>334</v>
      </c>
      <c r="Q19">
        <v>1558.4</v>
      </c>
    </row>
    <row r="20" spans="1:17" x14ac:dyDescent="0.3">
      <c r="A20" t="s">
        <v>19</v>
      </c>
      <c r="B20" t="s">
        <v>949</v>
      </c>
      <c r="C20" s="3">
        <v>30</v>
      </c>
      <c r="D20" s="3">
        <v>2223.9</v>
      </c>
      <c r="H20" t="s">
        <v>19</v>
      </c>
      <c r="I20" t="s">
        <v>949</v>
      </c>
      <c r="J20">
        <v>30</v>
      </c>
      <c r="N20" t="s">
        <v>19</v>
      </c>
      <c r="O20" t="s">
        <v>949</v>
      </c>
      <c r="Q20">
        <v>2223.9</v>
      </c>
    </row>
    <row r="21" spans="1:17" x14ac:dyDescent="0.3">
      <c r="A21" t="s">
        <v>19</v>
      </c>
      <c r="B21" t="s">
        <v>1426</v>
      </c>
      <c r="C21" s="3">
        <v>1</v>
      </c>
      <c r="D21" s="3">
        <v>26.2</v>
      </c>
      <c r="H21" t="s">
        <v>19</v>
      </c>
      <c r="I21" t="s">
        <v>1426</v>
      </c>
      <c r="J21">
        <v>1</v>
      </c>
      <c r="N21" t="s">
        <v>19</v>
      </c>
      <c r="O21" t="s">
        <v>1426</v>
      </c>
      <c r="Q21">
        <v>26.2</v>
      </c>
    </row>
    <row r="22" spans="1:17" x14ac:dyDescent="0.3">
      <c r="A22" t="s">
        <v>19</v>
      </c>
      <c r="B22" t="s">
        <v>33</v>
      </c>
      <c r="C22" s="3">
        <v>3991</v>
      </c>
      <c r="D22" s="3">
        <v>215551.19999999981</v>
      </c>
      <c r="H22" t="s">
        <v>19</v>
      </c>
      <c r="I22" t="s">
        <v>33</v>
      </c>
      <c r="J22">
        <v>3991</v>
      </c>
      <c r="N22" t="s">
        <v>19</v>
      </c>
      <c r="O22" t="s">
        <v>33</v>
      </c>
      <c r="Q22">
        <v>215551.19999999981</v>
      </c>
    </row>
    <row r="23" spans="1:17" x14ac:dyDescent="0.3">
      <c r="A23" t="s">
        <v>19</v>
      </c>
      <c r="B23" t="s">
        <v>364</v>
      </c>
      <c r="C23" s="3">
        <v>45</v>
      </c>
      <c r="D23" s="3">
        <v>2687.3999999999996</v>
      </c>
      <c r="H23" t="s">
        <v>19</v>
      </c>
      <c r="I23" t="s">
        <v>364</v>
      </c>
      <c r="J23">
        <v>45</v>
      </c>
      <c r="N23" t="s">
        <v>19</v>
      </c>
      <c r="O23" t="s">
        <v>364</v>
      </c>
      <c r="Q23">
        <v>2687.3999999999996</v>
      </c>
    </row>
    <row r="24" spans="1:17" x14ac:dyDescent="0.3">
      <c r="A24" t="s">
        <v>19</v>
      </c>
      <c r="B24" t="s">
        <v>545</v>
      </c>
      <c r="C24" s="3">
        <v>39</v>
      </c>
      <c r="D24" s="3">
        <v>1463.3000000000002</v>
      </c>
      <c r="H24" t="s">
        <v>19</v>
      </c>
      <c r="I24" t="s">
        <v>545</v>
      </c>
      <c r="J24">
        <v>39</v>
      </c>
      <c r="N24" t="s">
        <v>19</v>
      </c>
      <c r="O24" t="s">
        <v>545</v>
      </c>
      <c r="Q24">
        <v>1463.3000000000002</v>
      </c>
    </row>
    <row r="25" spans="1:17" x14ac:dyDescent="0.3">
      <c r="A25" t="s">
        <v>19</v>
      </c>
      <c r="B25" t="s">
        <v>416</v>
      </c>
      <c r="C25" s="3">
        <v>6</v>
      </c>
      <c r="D25" s="3">
        <v>445.79999999999995</v>
      </c>
      <c r="H25" t="s">
        <v>19</v>
      </c>
      <c r="I25" t="s">
        <v>416</v>
      </c>
      <c r="J25">
        <v>6</v>
      </c>
      <c r="N25" t="s">
        <v>19</v>
      </c>
      <c r="O25" t="s">
        <v>416</v>
      </c>
      <c r="Q25">
        <v>445.79999999999995</v>
      </c>
    </row>
    <row r="26" spans="1:17" x14ac:dyDescent="0.3">
      <c r="A26" t="s">
        <v>19</v>
      </c>
      <c r="B26" t="s">
        <v>258</v>
      </c>
      <c r="C26" s="3">
        <v>9</v>
      </c>
      <c r="D26" s="3">
        <v>273.59999999999997</v>
      </c>
      <c r="H26" t="s">
        <v>19</v>
      </c>
      <c r="I26" t="s">
        <v>258</v>
      </c>
      <c r="J26">
        <v>9</v>
      </c>
      <c r="N26" t="s">
        <v>19</v>
      </c>
      <c r="O26" t="s">
        <v>258</v>
      </c>
      <c r="Q26">
        <v>273.59999999999997</v>
      </c>
    </row>
    <row r="27" spans="1:17" x14ac:dyDescent="0.3">
      <c r="A27" t="s">
        <v>19</v>
      </c>
      <c r="B27" t="s">
        <v>186</v>
      </c>
      <c r="C27" s="3">
        <v>60</v>
      </c>
      <c r="D27" s="3">
        <v>2690.4</v>
      </c>
      <c r="H27" t="s">
        <v>19</v>
      </c>
      <c r="I27" t="s">
        <v>186</v>
      </c>
      <c r="J27">
        <v>60</v>
      </c>
      <c r="N27" t="s">
        <v>19</v>
      </c>
      <c r="O27" t="s">
        <v>186</v>
      </c>
      <c r="Q27">
        <v>2690.4</v>
      </c>
    </row>
    <row r="28" spans="1:17" x14ac:dyDescent="0.3">
      <c r="A28" t="s">
        <v>19</v>
      </c>
      <c r="B28" t="s">
        <v>392</v>
      </c>
      <c r="C28" s="3">
        <v>2</v>
      </c>
      <c r="D28" s="3">
        <v>28.4</v>
      </c>
      <c r="H28" t="s">
        <v>19</v>
      </c>
      <c r="I28" t="s">
        <v>392</v>
      </c>
      <c r="J28">
        <v>2</v>
      </c>
      <c r="N28" t="s">
        <v>19</v>
      </c>
      <c r="O28" t="s">
        <v>392</v>
      </c>
      <c r="Q28">
        <v>28.4</v>
      </c>
    </row>
    <row r="29" spans="1:17" x14ac:dyDescent="0.3">
      <c r="A29" t="s">
        <v>19</v>
      </c>
      <c r="B29" t="s">
        <v>670</v>
      </c>
      <c r="C29" s="3">
        <v>4</v>
      </c>
      <c r="D29" s="3">
        <v>204.8</v>
      </c>
      <c r="H29" t="s">
        <v>19</v>
      </c>
      <c r="I29" t="s">
        <v>670</v>
      </c>
      <c r="J29">
        <v>4</v>
      </c>
      <c r="N29" t="s">
        <v>19</v>
      </c>
      <c r="O29" t="s">
        <v>670</v>
      </c>
      <c r="Q29">
        <v>204.8</v>
      </c>
    </row>
    <row r="30" spans="1:17" x14ac:dyDescent="0.3">
      <c r="A30" t="s">
        <v>19</v>
      </c>
      <c r="B30" t="s">
        <v>802</v>
      </c>
      <c r="C30" s="3">
        <v>31</v>
      </c>
      <c r="D30" s="3">
        <v>1607.8999999999999</v>
      </c>
      <c r="H30" t="s">
        <v>19</v>
      </c>
      <c r="I30" t="s">
        <v>802</v>
      </c>
      <c r="J30">
        <v>31</v>
      </c>
      <c r="N30" t="s">
        <v>19</v>
      </c>
      <c r="O30" t="s">
        <v>802</v>
      </c>
      <c r="Q30">
        <v>1607.8999999999999</v>
      </c>
    </row>
    <row r="31" spans="1:17" x14ac:dyDescent="0.3">
      <c r="A31" t="s">
        <v>19</v>
      </c>
      <c r="B31" t="s">
        <v>98</v>
      </c>
      <c r="C31" s="3">
        <v>88</v>
      </c>
      <c r="D31" s="3">
        <v>6444.9</v>
      </c>
      <c r="H31" t="s">
        <v>19</v>
      </c>
      <c r="I31" t="s">
        <v>98</v>
      </c>
      <c r="J31">
        <v>88</v>
      </c>
      <c r="N31" t="s">
        <v>19</v>
      </c>
      <c r="O31" t="s">
        <v>98</v>
      </c>
      <c r="Q31">
        <v>6444.9</v>
      </c>
    </row>
    <row r="32" spans="1:17" x14ac:dyDescent="0.3">
      <c r="A32" t="s">
        <v>19</v>
      </c>
      <c r="B32" t="s">
        <v>49</v>
      </c>
      <c r="C32" s="3">
        <v>25</v>
      </c>
      <c r="D32" s="3">
        <v>1809.3</v>
      </c>
      <c r="H32" t="s">
        <v>19</v>
      </c>
      <c r="I32" t="s">
        <v>49</v>
      </c>
      <c r="J32">
        <v>25</v>
      </c>
      <c r="N32" t="s">
        <v>19</v>
      </c>
      <c r="O32" t="s">
        <v>49</v>
      </c>
      <c r="Q32">
        <v>1809.3</v>
      </c>
    </row>
    <row r="33" spans="1:17" x14ac:dyDescent="0.3">
      <c r="A33" t="s">
        <v>19</v>
      </c>
      <c r="B33" t="s">
        <v>188</v>
      </c>
      <c r="C33" s="3">
        <v>178</v>
      </c>
      <c r="D33" s="3">
        <v>9680.399999999996</v>
      </c>
      <c r="H33" t="s">
        <v>19</v>
      </c>
      <c r="I33" t="s">
        <v>188</v>
      </c>
      <c r="J33">
        <v>178</v>
      </c>
      <c r="N33" t="s">
        <v>19</v>
      </c>
      <c r="O33" t="s">
        <v>188</v>
      </c>
      <c r="Q33">
        <v>9680.399999999996</v>
      </c>
    </row>
    <row r="34" spans="1:17" x14ac:dyDescent="0.3">
      <c r="A34" t="s">
        <v>19</v>
      </c>
      <c r="B34" t="s">
        <v>52</v>
      </c>
      <c r="C34" s="3">
        <v>141</v>
      </c>
      <c r="D34" s="3">
        <v>9414.7999999999993</v>
      </c>
      <c r="H34" t="s">
        <v>19</v>
      </c>
      <c r="I34" t="s">
        <v>52</v>
      </c>
      <c r="J34">
        <v>141</v>
      </c>
      <c r="N34" t="s">
        <v>19</v>
      </c>
      <c r="O34" t="s">
        <v>52</v>
      </c>
      <c r="Q34">
        <v>9414.7999999999993</v>
      </c>
    </row>
    <row r="35" spans="1:17" x14ac:dyDescent="0.3">
      <c r="A35" t="s">
        <v>19</v>
      </c>
      <c r="B35" t="s">
        <v>338</v>
      </c>
      <c r="C35" s="3">
        <v>6</v>
      </c>
      <c r="D35" s="3">
        <v>206.1</v>
      </c>
      <c r="H35" t="s">
        <v>19</v>
      </c>
      <c r="I35" t="s">
        <v>338</v>
      </c>
      <c r="J35">
        <v>6</v>
      </c>
      <c r="N35" t="s">
        <v>19</v>
      </c>
      <c r="O35" t="s">
        <v>338</v>
      </c>
      <c r="Q35">
        <v>206.1</v>
      </c>
    </row>
    <row r="36" spans="1:17" x14ac:dyDescent="0.3">
      <c r="A36" t="s">
        <v>19</v>
      </c>
      <c r="B36" t="s">
        <v>158</v>
      </c>
      <c r="C36" s="3">
        <v>178</v>
      </c>
      <c r="D36" s="3">
        <v>7691.3</v>
      </c>
      <c r="H36" t="s">
        <v>19</v>
      </c>
      <c r="I36" t="s">
        <v>158</v>
      </c>
      <c r="J36">
        <v>178</v>
      </c>
      <c r="N36" t="s">
        <v>19</v>
      </c>
      <c r="O36" t="s">
        <v>158</v>
      </c>
      <c r="Q36">
        <v>7691.3</v>
      </c>
    </row>
    <row r="37" spans="1:17" x14ac:dyDescent="0.3">
      <c r="A37" t="s">
        <v>19</v>
      </c>
      <c r="B37" t="s">
        <v>55</v>
      </c>
      <c r="C37" s="3">
        <v>699</v>
      </c>
      <c r="D37" s="3">
        <v>37784.900000000016</v>
      </c>
      <c r="H37" t="s">
        <v>19</v>
      </c>
      <c r="I37" t="s">
        <v>55</v>
      </c>
      <c r="J37">
        <v>699</v>
      </c>
      <c r="N37" t="s">
        <v>19</v>
      </c>
      <c r="O37" t="s">
        <v>55</v>
      </c>
      <c r="Q37">
        <v>37784.900000000016</v>
      </c>
    </row>
    <row r="38" spans="1:17" x14ac:dyDescent="0.3">
      <c r="A38" t="s">
        <v>19</v>
      </c>
      <c r="B38" t="s">
        <v>342</v>
      </c>
      <c r="C38" s="3">
        <v>23</v>
      </c>
      <c r="D38" s="3">
        <v>1129.7</v>
      </c>
      <c r="H38" t="s">
        <v>19</v>
      </c>
      <c r="I38" t="s">
        <v>342</v>
      </c>
      <c r="J38">
        <v>23</v>
      </c>
      <c r="N38" t="s">
        <v>19</v>
      </c>
      <c r="O38" t="s">
        <v>342</v>
      </c>
      <c r="Q38">
        <v>1129.7</v>
      </c>
    </row>
    <row r="39" spans="1:17" x14ac:dyDescent="0.3">
      <c r="A39" t="s">
        <v>19</v>
      </c>
      <c r="B39" t="s">
        <v>59</v>
      </c>
      <c r="C39" s="3">
        <v>356</v>
      </c>
      <c r="D39" s="3">
        <v>20988.9</v>
      </c>
      <c r="H39" t="s">
        <v>19</v>
      </c>
      <c r="I39" t="s">
        <v>59</v>
      </c>
      <c r="J39">
        <v>356</v>
      </c>
      <c r="N39" t="s">
        <v>19</v>
      </c>
      <c r="O39" t="s">
        <v>59</v>
      </c>
      <c r="Q39">
        <v>20988.9</v>
      </c>
    </row>
    <row r="40" spans="1:17" x14ac:dyDescent="0.3">
      <c r="A40" t="s">
        <v>19</v>
      </c>
      <c r="B40" t="s">
        <v>62</v>
      </c>
      <c r="C40" s="3">
        <v>1768</v>
      </c>
      <c r="D40" s="3">
        <v>98367.099999999977</v>
      </c>
      <c r="H40" t="s">
        <v>19</v>
      </c>
      <c r="I40" t="s">
        <v>62</v>
      </c>
      <c r="J40">
        <v>1768</v>
      </c>
      <c r="N40" t="s">
        <v>19</v>
      </c>
      <c r="O40" t="s">
        <v>62</v>
      </c>
      <c r="Q40">
        <v>98367.099999999977</v>
      </c>
    </row>
    <row r="41" spans="1:17" x14ac:dyDescent="0.3">
      <c r="A41" t="s">
        <v>19</v>
      </c>
      <c r="B41" t="s">
        <v>103</v>
      </c>
      <c r="C41" s="3">
        <v>307</v>
      </c>
      <c r="D41" s="3">
        <v>21911.9</v>
      </c>
      <c r="H41" t="s">
        <v>19</v>
      </c>
      <c r="I41" t="s">
        <v>103</v>
      </c>
      <c r="J41">
        <v>307</v>
      </c>
      <c r="N41" t="s">
        <v>19</v>
      </c>
      <c r="O41" t="s">
        <v>103</v>
      </c>
      <c r="Q41">
        <v>21911.9</v>
      </c>
    </row>
    <row r="42" spans="1:17" x14ac:dyDescent="0.3">
      <c r="A42" t="s">
        <v>19</v>
      </c>
      <c r="B42" t="s">
        <v>201</v>
      </c>
      <c r="C42" s="3">
        <v>117</v>
      </c>
      <c r="D42" s="3">
        <v>5441.2</v>
      </c>
      <c r="H42" t="s">
        <v>19</v>
      </c>
      <c r="I42" t="s">
        <v>201</v>
      </c>
      <c r="J42">
        <v>117</v>
      </c>
      <c r="N42" t="s">
        <v>19</v>
      </c>
      <c r="O42" t="s">
        <v>201</v>
      </c>
      <c r="Q42">
        <v>5441.2</v>
      </c>
    </row>
    <row r="43" spans="1:17" x14ac:dyDescent="0.3">
      <c r="A43" t="s">
        <v>19</v>
      </c>
      <c r="B43" t="s">
        <v>429</v>
      </c>
      <c r="C43" s="3">
        <v>13</v>
      </c>
      <c r="D43" s="3">
        <v>392.8</v>
      </c>
      <c r="H43" t="s">
        <v>19</v>
      </c>
      <c r="I43" t="s">
        <v>429</v>
      </c>
      <c r="J43">
        <v>13</v>
      </c>
      <c r="N43" t="s">
        <v>19</v>
      </c>
      <c r="O43" t="s">
        <v>429</v>
      </c>
      <c r="Q43">
        <v>392.8</v>
      </c>
    </row>
    <row r="44" spans="1:17" x14ac:dyDescent="0.3">
      <c r="A44" t="s">
        <v>19</v>
      </c>
      <c r="B44" t="s">
        <v>72</v>
      </c>
      <c r="C44" s="3">
        <v>364</v>
      </c>
      <c r="D44" s="3">
        <v>16172.000000000005</v>
      </c>
      <c r="H44" t="s">
        <v>19</v>
      </c>
      <c r="I44" t="s">
        <v>72</v>
      </c>
      <c r="J44">
        <v>364</v>
      </c>
      <c r="N44" t="s">
        <v>19</v>
      </c>
      <c r="O44" t="s">
        <v>72</v>
      </c>
      <c r="Q44">
        <v>16172.000000000005</v>
      </c>
    </row>
    <row r="45" spans="1:17" x14ac:dyDescent="0.3">
      <c r="A45" t="s">
        <v>19</v>
      </c>
      <c r="B45" t="s">
        <v>74</v>
      </c>
      <c r="C45" s="3">
        <v>95</v>
      </c>
      <c r="D45" s="3">
        <v>4334.9999999999991</v>
      </c>
      <c r="H45" t="s">
        <v>19</v>
      </c>
      <c r="I45" t="s">
        <v>74</v>
      </c>
      <c r="J45">
        <v>95</v>
      </c>
      <c r="N45" t="s">
        <v>19</v>
      </c>
      <c r="O45" t="s">
        <v>74</v>
      </c>
      <c r="Q45">
        <v>4334.9999999999991</v>
      </c>
    </row>
    <row r="46" spans="1:17" x14ac:dyDescent="0.3">
      <c r="A46" t="s">
        <v>19</v>
      </c>
      <c r="B46" t="s">
        <v>77</v>
      </c>
      <c r="C46" s="3">
        <v>737</v>
      </c>
      <c r="D46" s="3">
        <v>37449.000000000007</v>
      </c>
      <c r="H46" t="s">
        <v>19</v>
      </c>
      <c r="I46" t="s">
        <v>77</v>
      </c>
      <c r="J46">
        <v>737</v>
      </c>
      <c r="N46" t="s">
        <v>19</v>
      </c>
      <c r="O46" t="s">
        <v>77</v>
      </c>
      <c r="Q46">
        <v>37449.000000000007</v>
      </c>
    </row>
    <row r="47" spans="1:17" x14ac:dyDescent="0.3">
      <c r="A47" t="s">
        <v>19</v>
      </c>
      <c r="B47" t="s">
        <v>309</v>
      </c>
      <c r="C47" s="3">
        <v>39</v>
      </c>
      <c r="D47" s="3">
        <v>2447.5</v>
      </c>
      <c r="H47" t="s">
        <v>19</v>
      </c>
      <c r="I47" t="s">
        <v>309</v>
      </c>
      <c r="J47">
        <v>39</v>
      </c>
      <c r="N47" t="s">
        <v>19</v>
      </c>
      <c r="O47" t="s">
        <v>309</v>
      </c>
      <c r="Q47">
        <v>2447.5</v>
      </c>
    </row>
    <row r="48" spans="1:17" x14ac:dyDescent="0.3">
      <c r="A48" t="s">
        <v>19</v>
      </c>
      <c r="B48" t="s">
        <v>1116</v>
      </c>
      <c r="C48" s="3">
        <v>56</v>
      </c>
      <c r="D48" s="3">
        <v>3391.1</v>
      </c>
      <c r="H48" t="s">
        <v>19</v>
      </c>
      <c r="I48" t="s">
        <v>1116</v>
      </c>
      <c r="J48">
        <v>56</v>
      </c>
      <c r="N48" t="s">
        <v>19</v>
      </c>
      <c r="O48" t="s">
        <v>1116</v>
      </c>
      <c r="Q48">
        <v>3391.1</v>
      </c>
    </row>
    <row r="49" spans="1:17" x14ac:dyDescent="0.3">
      <c r="A49" t="s">
        <v>19</v>
      </c>
      <c r="B49" t="s">
        <v>700</v>
      </c>
      <c r="C49" s="3">
        <v>2</v>
      </c>
      <c r="D49" s="3">
        <v>30.8</v>
      </c>
      <c r="H49" t="s">
        <v>19</v>
      </c>
      <c r="I49" t="s">
        <v>700</v>
      </c>
      <c r="J49">
        <v>2</v>
      </c>
      <c r="N49" t="s">
        <v>19</v>
      </c>
      <c r="O49" t="s">
        <v>700</v>
      </c>
      <c r="Q49">
        <v>30.8</v>
      </c>
    </row>
    <row r="50" spans="1:17" x14ac:dyDescent="0.3">
      <c r="A50" t="s">
        <v>19</v>
      </c>
      <c r="B50" t="s">
        <v>268</v>
      </c>
      <c r="C50" s="3">
        <v>8</v>
      </c>
      <c r="D50" s="3">
        <v>332.3</v>
      </c>
      <c r="H50" t="s">
        <v>19</v>
      </c>
      <c r="I50" t="s">
        <v>268</v>
      </c>
      <c r="J50">
        <v>8</v>
      </c>
      <c r="N50" t="s">
        <v>19</v>
      </c>
      <c r="O50" t="s">
        <v>268</v>
      </c>
      <c r="Q50">
        <v>332.3</v>
      </c>
    </row>
    <row r="51" spans="1:17" x14ac:dyDescent="0.3">
      <c r="A51" t="s">
        <v>19</v>
      </c>
      <c r="B51" t="s">
        <v>377</v>
      </c>
      <c r="C51" s="3">
        <v>52</v>
      </c>
      <c r="D51" s="3">
        <v>3175.9999999999995</v>
      </c>
      <c r="H51" t="s">
        <v>19</v>
      </c>
      <c r="I51" t="s">
        <v>377</v>
      </c>
      <c r="J51">
        <v>52</v>
      </c>
      <c r="N51" t="s">
        <v>19</v>
      </c>
      <c r="O51" t="s">
        <v>377</v>
      </c>
      <c r="Q51">
        <v>3175.9999999999995</v>
      </c>
    </row>
    <row r="52" spans="1:17" x14ac:dyDescent="0.3">
      <c r="A52" t="s">
        <v>19</v>
      </c>
      <c r="B52" t="s">
        <v>108</v>
      </c>
      <c r="C52" s="3">
        <v>295</v>
      </c>
      <c r="D52" s="3">
        <v>20939.600000000002</v>
      </c>
      <c r="H52" t="s">
        <v>19</v>
      </c>
      <c r="I52" t="s">
        <v>108</v>
      </c>
      <c r="J52">
        <v>295</v>
      </c>
      <c r="N52" t="s">
        <v>19</v>
      </c>
      <c r="O52" t="s">
        <v>108</v>
      </c>
      <c r="Q52">
        <v>20939.600000000002</v>
      </c>
    </row>
    <row r="53" spans="1:17" x14ac:dyDescent="0.3">
      <c r="A53" t="s">
        <v>19</v>
      </c>
      <c r="B53" t="s">
        <v>110</v>
      </c>
      <c r="C53" s="3">
        <v>195</v>
      </c>
      <c r="D53" s="3">
        <v>10185.899999999996</v>
      </c>
      <c r="H53" t="s">
        <v>19</v>
      </c>
      <c r="I53" t="s">
        <v>110</v>
      </c>
      <c r="J53">
        <v>195</v>
      </c>
      <c r="N53" t="s">
        <v>19</v>
      </c>
      <c r="O53" t="s">
        <v>110</v>
      </c>
      <c r="Q53">
        <v>10185.899999999996</v>
      </c>
    </row>
    <row r="54" spans="1:17" x14ac:dyDescent="0.3">
      <c r="A54" t="s">
        <v>19</v>
      </c>
      <c r="B54" t="s">
        <v>292</v>
      </c>
      <c r="C54" s="3">
        <v>20</v>
      </c>
      <c r="D54" s="3">
        <v>958.7</v>
      </c>
      <c r="H54" t="s">
        <v>19</v>
      </c>
      <c r="I54" t="s">
        <v>292</v>
      </c>
      <c r="J54">
        <v>20</v>
      </c>
      <c r="N54" t="s">
        <v>19</v>
      </c>
      <c r="O54" t="s">
        <v>292</v>
      </c>
      <c r="Q54">
        <v>958.7</v>
      </c>
    </row>
    <row r="55" spans="1:17" x14ac:dyDescent="0.3">
      <c r="A55" t="s">
        <v>19</v>
      </c>
      <c r="B55" t="s">
        <v>79</v>
      </c>
      <c r="C55" s="3">
        <v>6</v>
      </c>
      <c r="D55" s="3">
        <v>323</v>
      </c>
      <c r="H55" t="s">
        <v>19</v>
      </c>
      <c r="I55" t="s">
        <v>79</v>
      </c>
      <c r="J55">
        <v>6</v>
      </c>
      <c r="N55" t="s">
        <v>19</v>
      </c>
      <c r="O55" t="s">
        <v>79</v>
      </c>
      <c r="Q55">
        <v>323</v>
      </c>
    </row>
    <row r="56" spans="1:17" x14ac:dyDescent="0.3">
      <c r="A56" t="s">
        <v>19</v>
      </c>
      <c r="B56" t="s">
        <v>608</v>
      </c>
      <c r="C56" s="3">
        <v>5</v>
      </c>
      <c r="D56" s="3">
        <v>167.70000000000002</v>
      </c>
      <c r="H56" t="s">
        <v>19</v>
      </c>
      <c r="I56" t="s">
        <v>608</v>
      </c>
      <c r="J56">
        <v>5</v>
      </c>
      <c r="N56" t="s">
        <v>19</v>
      </c>
      <c r="O56" t="s">
        <v>608</v>
      </c>
      <c r="Q56">
        <v>167.70000000000002</v>
      </c>
    </row>
    <row r="57" spans="1:17" x14ac:dyDescent="0.3">
      <c r="A57" t="s">
        <v>19</v>
      </c>
      <c r="B57" t="s">
        <v>113</v>
      </c>
      <c r="C57" s="3">
        <v>94</v>
      </c>
      <c r="D57" s="3">
        <v>3978.5</v>
      </c>
      <c r="H57" t="s">
        <v>19</v>
      </c>
      <c r="I57" t="s">
        <v>113</v>
      </c>
      <c r="J57">
        <v>94</v>
      </c>
      <c r="N57" t="s">
        <v>19</v>
      </c>
      <c r="O57" t="s">
        <v>113</v>
      </c>
      <c r="Q57">
        <v>3978.5</v>
      </c>
    </row>
    <row r="58" spans="1:17" x14ac:dyDescent="0.3">
      <c r="A58" t="s">
        <v>19</v>
      </c>
      <c r="B58" t="s">
        <v>997</v>
      </c>
      <c r="C58" s="3">
        <v>28</v>
      </c>
      <c r="D58" s="3">
        <v>1405</v>
      </c>
      <c r="H58" t="s">
        <v>19</v>
      </c>
      <c r="I58" t="s">
        <v>997</v>
      </c>
      <c r="J58">
        <v>28</v>
      </c>
      <c r="N58" t="s">
        <v>19</v>
      </c>
      <c r="O58" t="s">
        <v>997</v>
      </c>
      <c r="Q58">
        <v>1405</v>
      </c>
    </row>
    <row r="59" spans="1:17" x14ac:dyDescent="0.3">
      <c r="A59" t="s">
        <v>19</v>
      </c>
      <c r="B59" t="s">
        <v>82</v>
      </c>
      <c r="C59" s="3">
        <v>179</v>
      </c>
      <c r="D59" s="3">
        <v>9869.0999999999985</v>
      </c>
      <c r="H59" t="s">
        <v>19</v>
      </c>
      <c r="I59" t="s">
        <v>82</v>
      </c>
      <c r="J59">
        <v>179</v>
      </c>
      <c r="N59" t="s">
        <v>19</v>
      </c>
      <c r="O59" t="s">
        <v>82</v>
      </c>
      <c r="Q59">
        <v>9869.0999999999985</v>
      </c>
    </row>
    <row r="60" spans="1:17" x14ac:dyDescent="0.3">
      <c r="A60" t="s">
        <v>19</v>
      </c>
      <c r="B60" t="s">
        <v>243</v>
      </c>
      <c r="C60" s="3">
        <v>15</v>
      </c>
      <c r="D60" s="3">
        <v>615.29999999999995</v>
      </c>
      <c r="H60" t="s">
        <v>19</v>
      </c>
      <c r="I60" t="s">
        <v>243</v>
      </c>
      <c r="J60">
        <v>15</v>
      </c>
      <c r="N60" t="s">
        <v>19</v>
      </c>
      <c r="O60" t="s">
        <v>243</v>
      </c>
      <c r="Q60">
        <v>615.29999999999995</v>
      </c>
    </row>
    <row r="61" spans="1:17" x14ac:dyDescent="0.3">
      <c r="A61" t="s">
        <v>19</v>
      </c>
      <c r="B61" t="s">
        <v>1911</v>
      </c>
      <c r="C61" s="3">
        <v>3</v>
      </c>
      <c r="D61" s="3">
        <v>285</v>
      </c>
      <c r="H61" t="s">
        <v>19</v>
      </c>
      <c r="I61" t="s">
        <v>1911</v>
      </c>
      <c r="J61">
        <v>3</v>
      </c>
      <c r="N61" t="s">
        <v>19</v>
      </c>
      <c r="O61" t="s">
        <v>1911</v>
      </c>
      <c r="Q61">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450A-DA8A-4C8D-93E5-8DB51E114061}">
  <dimension ref="A3:B19"/>
  <sheetViews>
    <sheetView workbookViewId="0">
      <selection activeCell="K21" sqref="K21"/>
    </sheetView>
  </sheetViews>
  <sheetFormatPr defaultRowHeight="14.4" x14ac:dyDescent="0.3"/>
  <cols>
    <col min="1" max="1" width="12.44140625" bestFit="1" customWidth="1"/>
    <col min="2" max="2" width="12.21875" bestFit="1" customWidth="1"/>
  </cols>
  <sheetData>
    <row r="3" spans="1:2" x14ac:dyDescent="0.3">
      <c r="A3" s="4" t="s">
        <v>2528</v>
      </c>
      <c r="B3" t="s">
        <v>2519</v>
      </c>
    </row>
    <row r="4" spans="1:2" x14ac:dyDescent="0.3">
      <c r="A4" s="5">
        <v>0</v>
      </c>
      <c r="B4" s="3">
        <v>175</v>
      </c>
    </row>
    <row r="5" spans="1:2" x14ac:dyDescent="0.3">
      <c r="A5" s="5">
        <v>1</v>
      </c>
      <c r="B5" s="3">
        <v>888</v>
      </c>
    </row>
    <row r="6" spans="1:2" x14ac:dyDescent="0.3">
      <c r="A6" s="5">
        <v>2</v>
      </c>
      <c r="B6" s="3">
        <v>538</v>
      </c>
    </row>
    <row r="7" spans="1:2" x14ac:dyDescent="0.3">
      <c r="A7" s="5">
        <v>3</v>
      </c>
      <c r="B7" s="3">
        <v>344</v>
      </c>
    </row>
    <row r="8" spans="1:2" x14ac:dyDescent="0.3">
      <c r="A8" s="5">
        <v>4</v>
      </c>
      <c r="B8" s="3">
        <v>200</v>
      </c>
    </row>
    <row r="9" spans="1:2" x14ac:dyDescent="0.3">
      <c r="A9" s="5">
        <v>5</v>
      </c>
      <c r="B9" s="3">
        <v>94</v>
      </c>
    </row>
    <row r="10" spans="1:2" x14ac:dyDescent="0.3">
      <c r="A10" s="5">
        <v>6</v>
      </c>
      <c r="B10" s="3">
        <v>51</v>
      </c>
    </row>
    <row r="11" spans="1:2" x14ac:dyDescent="0.3">
      <c r="A11" s="5">
        <v>7</v>
      </c>
      <c r="B11" s="3">
        <v>32</v>
      </c>
    </row>
    <row r="12" spans="1:2" x14ac:dyDescent="0.3">
      <c r="A12" s="5">
        <v>8</v>
      </c>
      <c r="B12" s="3">
        <v>23</v>
      </c>
    </row>
    <row r="13" spans="1:2" x14ac:dyDescent="0.3">
      <c r="A13" s="5">
        <v>9</v>
      </c>
      <c r="B13" s="3">
        <v>9</v>
      </c>
    </row>
    <row r="14" spans="1:2" x14ac:dyDescent="0.3">
      <c r="A14" s="5">
        <v>10</v>
      </c>
      <c r="B14" s="3">
        <v>8</v>
      </c>
    </row>
    <row r="15" spans="1:2" x14ac:dyDescent="0.3">
      <c r="A15" s="5">
        <v>11</v>
      </c>
      <c r="B15" s="3">
        <v>11</v>
      </c>
    </row>
    <row r="16" spans="1:2" x14ac:dyDescent="0.3">
      <c r="A16" s="5">
        <v>12</v>
      </c>
      <c r="B16" s="3">
        <v>4</v>
      </c>
    </row>
    <row r="17" spans="1:2" x14ac:dyDescent="0.3">
      <c r="A17" s="5">
        <v>13</v>
      </c>
      <c r="B17" s="3">
        <v>10</v>
      </c>
    </row>
    <row r="18" spans="1:2" x14ac:dyDescent="0.3">
      <c r="A18" s="5">
        <v>14</v>
      </c>
      <c r="B18" s="3">
        <v>13</v>
      </c>
    </row>
    <row r="19" spans="1:2" x14ac:dyDescent="0.3">
      <c r="A19" s="5" t="s">
        <v>2529</v>
      </c>
      <c r="B19" s="3">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E2B7-EF4A-493C-ADC1-712737C2C03D}">
  <dimension ref="A3:G8"/>
  <sheetViews>
    <sheetView workbookViewId="0">
      <selection activeCell="J27" sqref="J27"/>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3" spans="1:7" x14ac:dyDescent="0.3">
      <c r="A3" s="4" t="s">
        <v>2519</v>
      </c>
      <c r="B3" s="4" t="s">
        <v>2530</v>
      </c>
    </row>
    <row r="4" spans="1:7" x14ac:dyDescent="0.3">
      <c r="A4" s="4" t="s">
        <v>2528</v>
      </c>
      <c r="B4">
        <v>1</v>
      </c>
      <c r="C4">
        <v>2</v>
      </c>
      <c r="D4">
        <v>3</v>
      </c>
      <c r="E4">
        <v>4</v>
      </c>
      <c r="F4">
        <v>5</v>
      </c>
      <c r="G4" t="s">
        <v>2529</v>
      </c>
    </row>
    <row r="5" spans="1:7" x14ac:dyDescent="0.3">
      <c r="A5" s="5" t="s">
        <v>2541</v>
      </c>
      <c r="B5" s="3">
        <v>7</v>
      </c>
      <c r="C5" s="3">
        <v>37</v>
      </c>
      <c r="D5" s="3">
        <v>150</v>
      </c>
      <c r="E5" s="3">
        <v>312</v>
      </c>
      <c r="F5" s="3">
        <v>224</v>
      </c>
      <c r="G5" s="3">
        <v>730</v>
      </c>
    </row>
    <row r="6" spans="1:7" x14ac:dyDescent="0.3">
      <c r="A6" s="5" t="s">
        <v>2542</v>
      </c>
      <c r="B6" s="3">
        <v>8</v>
      </c>
      <c r="C6" s="3">
        <v>51</v>
      </c>
      <c r="D6" s="3">
        <v>182</v>
      </c>
      <c r="E6" s="3">
        <v>373</v>
      </c>
      <c r="F6" s="3">
        <v>247</v>
      </c>
      <c r="G6" s="3">
        <v>861</v>
      </c>
    </row>
    <row r="7" spans="1:7" x14ac:dyDescent="0.3">
      <c r="A7" s="5" t="s">
        <v>2543</v>
      </c>
      <c r="B7" s="3">
        <v>6</v>
      </c>
      <c r="C7" s="3">
        <v>39</v>
      </c>
      <c r="D7" s="3">
        <v>163</v>
      </c>
      <c r="E7" s="3">
        <v>351</v>
      </c>
      <c r="F7" s="3">
        <v>250</v>
      </c>
      <c r="G7" s="3">
        <v>809</v>
      </c>
    </row>
    <row r="8" spans="1:7" x14ac:dyDescent="0.3">
      <c r="A8" s="5" t="s">
        <v>2529</v>
      </c>
      <c r="B8" s="3">
        <v>21</v>
      </c>
      <c r="C8" s="3">
        <v>127</v>
      </c>
      <c r="D8" s="3">
        <v>495</v>
      </c>
      <c r="E8" s="3">
        <v>1036</v>
      </c>
      <c r="F8" s="3">
        <v>721</v>
      </c>
      <c r="G8" s="3">
        <v>2400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85" zoomScaleNormal="85" workbookViewId="0">
      <selection activeCell="S16" sqref="S1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A6D02C-A94A-4F14-ADAA-3B41055A16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Questions &amp; KPIs</vt:lpstr>
      <vt:lpstr>Pivots</vt:lpstr>
      <vt:lpstr>Order Mode Analysis</vt:lpstr>
      <vt:lpstr>Order Quantity Analysis</vt:lpstr>
      <vt:lpstr>Popular Products Analysis</vt:lpstr>
      <vt:lpstr>Geographic Distribution</vt:lpstr>
      <vt:lpstr>Delivery Time</vt:lpstr>
      <vt:lpstr>Cx Satisfaction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Amol Thakur</cp:lastModifiedBy>
  <dcterms:created xsi:type="dcterms:W3CDTF">2025-06-13T02:42:26Z</dcterms:created>
  <dcterms:modified xsi:type="dcterms:W3CDTF">2026-01-13T15:05:52Z</dcterms:modified>
</cp:coreProperties>
</file>